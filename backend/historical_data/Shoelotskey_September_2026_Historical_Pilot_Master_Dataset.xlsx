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845045824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2e2cf1c1dd4dc8"/>
    <x:sheet xmlns:r="http://schemas.openxmlformats.org/officeDocument/2006/relationships" name="DSMR Transactions" sheetId="2" r:id="Rb0d7bf4cb13e4baa"/>
    <x:sheet xmlns:r="http://schemas.openxmlformats.org/officeDocument/2006/relationships" name="Job Orders" sheetId="3" r:id="R6146c5f849d145ba"/>
    <x:sheet xmlns:r="http://schemas.openxmlformats.org/officeDocument/2006/relationships" name="Services-Pairs" sheetId="4" r:id="R406d37d4025e4380"/>
    <x:sheet xmlns:r="http://schemas.openxmlformats.org/officeDocument/2006/relationships" name="Expenses" sheetId="5" r:id="R084f489fc1ef4db4"/>
    <x:sheet xmlns:r="http://schemas.openxmlformats.org/officeDocument/2006/relationships" name="Evidence Matching" sheetId="6" r:id="R12dc6e0e027c44e4"/>
    <x:sheet xmlns:r="http://schemas.openxmlformats.org/officeDocument/2006/relationships" name="Unresolved Items" sheetId="7" r:id="Ra5883d1d080a4a31"/>
    <x:sheet xmlns:r="http://schemas.openxmlformats.org/officeDocument/2006/relationships" name="Reconciliation Summary" sheetId="8" r:id="R0a73ec2ea9804565"/>
    <x:sheet xmlns:r="http://schemas.openxmlformats.org/officeDocument/2006/relationships" name="Import Instructions" sheetId="9" r:id="R417f5a0792ce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1E1E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b21c3cb704011" /><Relationship Type="http://schemas.openxmlformats.org/officeDocument/2006/relationships/theme" Target="/xl/theme/theme1.xml" Id="R46cc55acc4604459" /><Relationship Type="http://schemas.openxmlformats.org/officeDocument/2006/relationships/sharedStrings" Target="/xl/sharedStrings.xml" Id="R420a897b9ea94d39" /><Relationship Type="http://schemas.openxmlformats.org/officeDocument/2006/relationships/worksheet" Target="/xl/worksheets/sheet1.xml" Id="R002e2cf1c1dd4dc8" /><Relationship Type="http://schemas.openxmlformats.org/officeDocument/2006/relationships/worksheet" Target="/xl/worksheets/sheet2.xml" Id="Rb0d7bf4cb13e4baa" /><Relationship Type="http://schemas.openxmlformats.org/officeDocument/2006/relationships/worksheet" Target="/xl/worksheets/sheet3.xml" Id="R6146c5f849d145ba" /><Relationship Type="http://schemas.openxmlformats.org/officeDocument/2006/relationships/worksheet" Target="/xl/worksheets/sheet4.xml" Id="R406d37d4025e4380" /><Relationship Type="http://schemas.openxmlformats.org/officeDocument/2006/relationships/worksheet" Target="/xl/worksheets/sheet5.xml" Id="R084f489fc1ef4db4" /><Relationship Type="http://schemas.openxmlformats.org/officeDocument/2006/relationships/worksheet" Target="/xl/worksheets/sheet6.xml" Id="R12dc6e0e027c44e4" /><Relationship Type="http://schemas.openxmlformats.org/officeDocument/2006/relationships/worksheet" Target="/xl/worksheets/sheet7.xml" Id="Ra5883d1d080a4a31" /><Relationship Type="http://schemas.openxmlformats.org/officeDocument/2006/relationships/worksheet" Target="/xl/worksheets/sheet8.xml" Id="R0a73ec2ea9804565" /><Relationship Type="http://schemas.openxmlformats.org/officeDocument/2006/relationships/worksheet" Target="/xl/worksheets/sheet9.xml" Id="R417f5a0792ce426e" /></Relationships>
</file>

<file path=xl/tables/table1.xml><?xml version="1.0" encoding="utf-8"?>
<x:table xmlns:x="http://schemas.openxmlformats.org/spreadsheetml/2006/main" id="1" name="DSMRTable" displayName="DSMRTable" ref="A1:M83" headerRowCount="1" totalsRowCount="0" totalsRowShown="0">
  <x:tableColumns count="13">
    <x:tableColumn id="1" name="Evidence ID"/>
    <x:tableColumn id="2" name="Report Date"/>
    <x:tableColumn id="3" name="Row"/>
    <x:tableColumn id="4" name="Customer Type"/>
    <x:tableColumn id="5" name="Customer Name"/>
    <x:tableColumn id="6" name="Pairs"/>
    <x:tableColumn id="7" name="Payment Method"/>
    <x:tableColumn id="8" name="Amount Paid"/>
    <x:tableColumn id="9" name="Remaining Balance"/>
    <x:tableColumn id="10" name="Payment Status"/>
    <x:tableColumn id="11" name="Remarks"/>
    <x:tableColumn id="12" name="Verification Status"/>
    <x:tableColumn id="13" name="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bOrdersTable" displayName="JobOrdersTable" ref="A1:Q15" headerRowCount="1" totalsRowCount="0" totalsRowShown="0">
  <x:tableColumns count="17">
    <x:tableColumn id="1" name="Evidence ID"/>
    <x:tableColumn id="2" name="Received Date"/>
    <x:tableColumn id="3" name="Customer"/>
    <x:tableColumn id="4" name="Contact"/>
    <x:tableColumn id="5" name="Pairs"/>
    <x:tableColumn id="6" name="Grand Total"/>
    <x:tableColumn id="7" name="Payment Method"/>
    <x:tableColumn id="8" name="Amount Paid"/>
    <x:tableColumn id="9" name="Balance"/>
    <x:tableColumn id="10" name="Payment Status"/>
    <x:tableColumn id="11" name="Estimated Release"/>
    <x:tableColumn id="12" name="Staff"/>
    <x:tableColumn id="13" name="Branch"/>
    <x:tableColumn id="14" name="DSMR Match"/>
    <x:tableColumn id="15" name="Verification"/>
    <x:tableColumn id="16" name="Provenance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sPairsTable" displayName="ServicesPairsTable" ref="A1:H27" headerRowCount="1" totalsRowCount="0" totalsRowShown="0">
  <x:tableColumns count="8">
    <x:tableColumn id="1" name="Job Order Evidence ID"/>
    <x:tableColumn id="2" name="Pair #"/>
    <x:tableColumn id="3" name="Shoe / Description"/>
    <x:tableColumn id="4" name="Service (as written)"/>
    <x:tableColumn id="5" name="Price"/>
    <x:tableColumn id="6" name="Rush?"/>
    <x:tableColumn id="7" name="Estimated Release"/>
    <x:tableColumn id="8" name="Ver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nsesTable" displayName="ExpensesTable" ref="A1:K12" headerRowCount="1" totalsRowCount="0" totalsRowShown="0">
  <x:tableColumns count="11">
    <x:tableColumn id="1" name="Expense ID"/>
    <x:tableColumn id="2" name="Date / Period"/>
    <x:tableColumn id="3" name="Category"/>
    <x:tableColumn id="4" name="Description"/>
    <x:tableColumn id="5" name="Amount"/>
    <x:tableColumn id="6" name="Frequency"/>
    <x:tableColumn id="7" name="Pilot Window?"/>
    <x:tableColumn id="8" name="Current-Period Expense?"/>
    <x:tableColumn id="9" name="Evidence Status"/>
    <x:tableColumn id="10" name="Provenance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MatchTable" displayName="EvidenceMatchTable" ref="A1:F13" headerRowCount="1" totalsRowCount="0" totalsRowShown="0">
  <x:tableColumns count="6">
    <x:tableColumn id="1" name="Job Order Evidence"/>
    <x:tableColumn id="2" name="DSMR Evidence"/>
    <x:tableColumn id="3" name="Customer"/>
    <x:tableColumn id="4" name="Match Status"/>
    <x:tableColumn id="5" name="Basis"/>
    <x:tableColumn id="6" name="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resolvedTable" displayName="UnresolvedTable" ref="A1:F10" headerRowCount="1" totalsRowCount="0" totalsRowShown="0">
  <x:tableColumns count="6">
    <x:tableColumn id="1" name="ID"/>
    <x:tableColumn id="2" name="Area"/>
    <x:tableColumn id="3" name="Issue"/>
    <x:tableColumn id="4" name="Risk if guessed"/>
    <x:tableColumn id="5" name="Required Resolution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a93fa8a33a4e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7bb77ea0c44c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b31be2edcd42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70d5f801f448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bbd89573c748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64076595cf4d3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SHOELOTSKEY — SEPTEMBER 2026 HISTORICAL PILOT MASTER DATASET</x:v>
      </x:c>
      <x:c r="B1" s="16"/>
      <x:c r="C1" s="16"/>
      <x:c r="D1" s="16"/>
      <x:c r="E1" s="16"/>
      <x:c r="F1" s="16"/>
      <x:c r="G1" s="16"/>
      <x:c r="H1" s="16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2" t="str">
        <x:v>Purpose</x:v>
      </x:c>
      <x:c r="B3" s="17" t="str">
        <x:v>Consolidated staging workbook for paper Job Orders, Daily Sales Monitoring Reports (DSMR), payments/claims, expenses, evidence matching, and unresolved items before database import.</x:v>
      </x:c>
      <x:c r="C3" s="17"/>
      <x:c r="D3" s="17"/>
      <x:c r="E3" s="17"/>
      <x:c r="F3" s="17"/>
      <x:c r="G3" s="17"/>
      <x:c r="H3" s="17"/>
    </x:row>
    <x:row r="4">
      <x:c r="A4" s="12" t="str">
        <x:v>Evidence rule</x:v>
      </x:c>
      <x:c r="B4" s="17" t="str">
        <x:v>Do not invent missing values. Preserve paper-source dates separately from future system import/audit timestamps.</x:v>
      </x:c>
      <x:c r="C4" s="17"/>
      <x:c r="D4" s="17"/>
      <x:c r="E4" s="17"/>
      <x:c r="F4" s="17"/>
      <x:c r="G4" s="17"/>
      <x:c r="H4" s="17"/>
    </x:row>
    <x:row r="5">
      <x:c r="A5" s="12" t="str">
        <x:v>Provenance</x:v>
      </x:c>
      <x:c r="B5" s="17" t="str">
        <x:v>PAPER_SOURCE = directly documented; IMPORTED_HISTORICAL = future database import; SYSTEM_GENERATED = genuine system event; CONTROLLED_TEST = current technical test.</x:v>
      </x:c>
      <x:c r="C5" s="17"/>
      <x:c r="D5" s="17"/>
      <x:c r="E5" s="17"/>
      <x:c r="F5" s="17"/>
      <x:c r="G5" s="17"/>
      <x:c r="H5" s="17"/>
    </x:row>
    <x:row r="6">
      <x:c r="A6" s="12" t="str">
        <x:v>Critical date rule</x:v>
      </x:c>
      <x:c r="B6" s="17" t="str">
        <x:v>Estimated release dates are NOT actual release/ready dates. CLAIM rows are NOT new orders.</x:v>
      </x:c>
      <x:c r="C6" s="17"/>
      <x:c r="D6" s="17"/>
      <x:c r="E6" s="17"/>
      <x:c r="F6" s="17"/>
      <x:c r="G6" s="17"/>
      <x:c r="H6" s="17"/>
    </x:row>
    <x:row r="7">
      <x:c r="A7" s="12" t="str">
        <x:v>Deduplication rule</x:v>
      </x:c>
      <x:c r="B7" s="17" t="str">
        <x:v>A DSMR NEW row and matching Shoe Inventory Form represent one business transaction supported by two sources, not two orders.</x:v>
      </x:c>
      <x:c r="C7" s="17"/>
      <x:c r="D7" s="17"/>
      <x:c r="E7" s="17"/>
      <x:c r="F7" s="17"/>
      <x:c r="G7" s="17"/>
      <x:c r="H7" s="17"/>
    </x:row>
    <x:row r="8">
      <x:c r="A8" s="12" t="str">
        <x:v>Pilot chronology</x:v>
      </x:c>
      <x:c r="B8" s="17" t="str">
        <x:v>Operational pilot: 2026-09-02 to 2026-09-16. Questionnaire administration: 2026-09-17 to 2026-09-22. Later technical verification must remain separate.</x:v>
      </x:c>
      <x:c r="C8" s="17"/>
      <x:c r="D8" s="17"/>
      <x:c r="E8" s="17"/>
      <x:c r="F8" s="17"/>
      <x:c r="G8" s="17"/>
      <x:c r="H8" s="17"/>
    </x:row>
    <x:row r="9">
      <x:c r="A9" s="12" t="str">
        <x:v>Inventory rule</x:v>
      </x:c>
      <x:c r="B9" s="17" t="str">
        <x:v>Do not reconstruct historical material consumption from service type. Client did not provide verified standardized material-consumption recipes.</x:v>
      </x:c>
      <x:c r="C9" s="17"/>
      <x:c r="D9" s="17"/>
      <x:c r="E9" s="17"/>
      <x:c r="F9" s="17"/>
      <x:c r="G9" s="17"/>
      <x:c r="H9" s="17"/>
    </x:row>
    <x:row r="10">
      <x:c r="A10" s="12" t="str">
        <x:v>Status</x:v>
      </x:c>
      <x:c r="B10" s="17" t="str">
        <x:v>STAGING / RECONCILIATION — DO NOT IMPORT TO PRODUCTION UNTIL unresolved items and duplicate matching are reviewed.</x:v>
      </x:c>
      <x:c r="C10" s="17"/>
      <x:c r="D10" s="17"/>
      <x:c r="E10" s="17"/>
      <x:c r="F10" s="17"/>
      <x:c r="G10" s="17"/>
      <x:c r="H10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7" hidden="0" customWidth="1"/>
    <x:col min="4" max="4" width="12" hidden="0" customWidth="1"/>
    <x:col min="5" max="5" width="26" hidden="0" customWidth="1"/>
    <x:col min="6" max="6" width="8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28" hidden="0" customWidth="1"/>
    <x:col min="12" max="12" width="16" hidden="0" customWidth="1"/>
    <x:col min="13" max="13" width="16" hidden="0" customWidth="1"/>
  </x:cols>
  <x:sheetData>
    <x:row r="1">
      <x:c r="A1" s="24" t="str">
        <x:v>Evidence ID</x:v>
      </x:c>
      <x:c r="B1" s="24" t="str">
        <x:v>Report Date</x:v>
      </x:c>
      <x:c r="C1" s="24" t="str">
        <x:v>Row</x:v>
      </x:c>
      <x:c r="D1" s="24" t="str">
        <x:v>Customer Type</x:v>
      </x:c>
      <x:c r="E1" s="24" t="str">
        <x:v>Customer Name</x:v>
      </x:c>
      <x:c r="F1" s="24" t="str">
        <x:v>Pairs</x:v>
      </x:c>
      <x:c r="G1" s="24" t="str">
        <x:v>Payment Method</x:v>
      </x:c>
      <x:c r="H1" s="24" t="str">
        <x:v>Amount Paid</x:v>
      </x:c>
      <x:c r="I1" s="24" t="str">
        <x:v>Remaining Balance</x:v>
      </x:c>
      <x:c r="J1" s="24" t="str">
        <x:v>Payment Status</x:v>
      </x:c>
      <x:c r="K1" s="24" t="str">
        <x:v>Remarks</x:v>
      </x:c>
      <x:c r="L1" s="24" t="str">
        <x:v>Verification Status</x:v>
      </x:c>
      <x:c r="M1" s="24" t="str">
        <x:v>Provenance</x:v>
      </x:c>
    </x:row>
    <x:row r="2">
      <x:c r="A2" t="str">
        <x:v>DSMR-2026-09-09-R01</x:v>
      </x:c>
      <x:c r="B2" t="str">
        <x:v>2026-09-09</x:v>
      </x:c>
      <x:c r="C2" t="n">
        <x:v>1</x:v>
      </x:c>
      <x:c r="D2" t="str">
        <x:v>CLAIM</x:v>
      </x:c>
      <x:c r="E2" t="str">
        <x:v>Darwin</x:v>
      </x:c>
      <x:c r="F2" t="n">
        <x:v>1</x:v>
      </x:c>
      <x:c r="G2" t="str">
        <x:v>Cash</x:v>
      </x:c>
      <x:c r="H2" s="30" t="n">
        <x:v>375</x:v>
      </x:c>
      <x:c r="I2" s="30"/>
      <x:c r="J2" t="str">
        <x:v>Claim Payment</x:v>
      </x:c>
      <x:c r="K2" t="str">
        <x:v>Fully paid</x:v>
      </x:c>
      <x:c r="L2" t="str">
        <x:v>CONFIRMED</x:v>
      </x:c>
      <x:c r="M2" t="str">
        <x:v>PAPER_SOURCE</x:v>
      </x:c>
    </x:row>
    <x:row r="3">
      <x:c r="A3" t="str">
        <x:v>DSMR-2026-09-09-R02</x:v>
      </x:c>
      <x:c r="B3" t="str">
        <x:v>2026-09-09</x:v>
      </x:c>
      <x:c r="C3" t="n">
        <x:v>2</x:v>
      </x:c>
      <x:c r="D3" t="str">
        <x:v>NEW</x:v>
      </x:c>
      <x:c r="E3" t="str">
        <x:v>Levan Bunhaje</x:v>
      </x:c>
      <x:c r="F3" t="n">
        <x:v>1</x:v>
      </x:c>
      <x:c r="G3" t="str">
        <x:v>Cash</x:v>
      </x:c>
      <x:c r="H3" s="30" t="n">
        <x:v>510</x:v>
      </x:c>
      <x:c r="I3" s="30"/>
      <x:c r="J3" t="str">
        <x:v>Fully Paid</x:v>
      </x:c>
      <x:c r="K3" t="str">
        <x:v>Fully paid</x:v>
      </x:c>
      <x:c r="L3" t="str">
        <x:v>CONFIRMED</x:v>
      </x:c>
      <x:c r="M3" t="str">
        <x:v>PAPER_SOURCE</x:v>
      </x:c>
    </x:row>
    <x:row r="4">
      <x:c r="A4" t="str">
        <x:v>DSMR-2026-09-09-R03</x:v>
      </x:c>
      <x:c r="B4" t="str">
        <x:v>2026-09-09</x:v>
      </x:c>
      <x:c r="C4" t="n">
        <x:v>3</x:v>
      </x:c>
      <x:c r="D4" t="str">
        <x:v>NEW</x:v>
      </x:c>
      <x:c r="E4" t="str">
        <x:v>Rudary Mirhaza</x:v>
      </x:c>
      <x:c r="F4" t="n">
        <x:v>1</x:v>
      </x:c>
      <x:c r="G4" t="str">
        <x:v>Cash</x:v>
      </x:c>
      <x:c r="H4" s="30" t="n">
        <x:v>510</x:v>
      </x:c>
      <x:c r="I4" s="30"/>
      <x:c r="J4" t="str">
        <x:v>Fully Paid</x:v>
      </x:c>
      <x:c r="K4" t="str">
        <x:v>Fully paid</x:v>
      </x:c>
      <x:c r="L4" t="str">
        <x:v>CONFIRMED</x:v>
      </x:c>
      <x:c r="M4" t="str">
        <x:v>PAPER_SOURCE</x:v>
      </x:c>
    </x:row>
    <x:row r="5">
      <x:c r="A5" t="str">
        <x:v>DSMR-2026-09-09-R04</x:v>
      </x:c>
      <x:c r="B5" t="str">
        <x:v>2026-09-09</x:v>
      </x:c>
      <x:c r="C5" t="n">
        <x:v>4</x:v>
      </x:c>
      <x:c r="D5" t="str">
        <x:v>NEW</x:v>
      </x:c>
      <x:c r="E5" t="str">
        <x:v>Al Aguilar</x:v>
      </x:c>
      <x:c r="F5" t="n">
        <x:v>1</x:v>
      </x:c>
      <x:c r="G5" t="str">
        <x:v>Cash</x:v>
      </x:c>
      <x:c r="H5" s="30" t="n">
        <x:v>300</x:v>
      </x:c>
      <x:c r="I5" s="30" t="n">
        <x:v>275</x:v>
      </x:c>
      <x:c r="J5" t="str">
        <x:v>Down Payment</x:v>
      </x:c>
      <x:c r="K5" t="str">
        <x:v>DP</x:v>
      </x:c>
      <x:c r="L5" t="str">
        <x:v>CONFIRMED</x:v>
      </x:c>
      <x:c r="M5" t="str">
        <x:v>PAPER_SOURCE</x:v>
      </x:c>
    </x:row>
    <x:row r="6">
      <x:c r="A6" t="str">
        <x:v>DSMR-2026-09-09-R05</x:v>
      </x:c>
      <x:c r="B6" t="str">
        <x:v>2026-09-09</x:v>
      </x:c>
      <x:c r="C6" t="n">
        <x:v>5</x:v>
      </x:c>
      <x:c r="D6" t="str">
        <x:v>NEW</x:v>
      </x:c>
      <x:c r="E6" t="str">
        <x:v>Charl Panilio</x:v>
      </x:c>
      <x:c r="F6" t="n">
        <x:v>8</x:v>
      </x:c>
      <x:c r="G6" t="str">
        <x:v>Cash</x:v>
      </x:c>
      <x:c r="H6" s="30" t="n">
        <x:v>2000</x:v>
      </x:c>
      <x:c r="I6" s="30" t="n">
        <x:v>1275</x:v>
      </x:c>
      <x:c r="J6" t="str">
        <x:v>Down Payment</x:v>
      </x:c>
      <x:c r="K6" t="str">
        <x:v>DP</x:v>
      </x:c>
      <x:c r="L6" t="str">
        <x:v>CONFIRMED</x:v>
      </x:c>
      <x:c r="M6" t="str">
        <x:v>PAPER_SOURCE</x:v>
      </x:c>
    </x:row>
    <x:row r="7">
      <x:c r="A7" t="str">
        <x:v>DSMR-2026-09-09-R06</x:v>
      </x:c>
      <x:c r="B7" t="str">
        <x:v>2026-09-09</x:v>
      </x:c>
      <x:c r="C7" t="n">
        <x:v>6</x:v>
      </x:c>
      <x:c r="D7" t="str">
        <x:v>NEW</x:v>
      </x:c>
      <x:c r="E7" t="str">
        <x:v>Roderick Del Rosario</x:v>
      </x:c>
      <x:c r="F7" t="n">
        <x:v>2</x:v>
      </x:c>
      <x:c r="G7" t="str">
        <x:v>Not Yet Paid</x:v>
      </x:c>
      <x:c r="H7" s="30"/>
      <x:c r="I7" s="30" t="n">
        <x:v>1250</x:v>
      </x:c>
      <x:c r="J7" t="str">
        <x:v>Not Yet Paid</x:v>
      </x:c>
      <x:c r="K7" t="str">
        <x:v>Not Yet Paid</x:v>
      </x:c>
      <x:c r="L7" t="str">
        <x:v>CONFIRMED</x:v>
      </x:c>
      <x:c r="M7" t="str">
        <x:v>PAPER_SOURCE</x:v>
      </x:c>
    </x:row>
    <x:row r="8">
      <x:c r="A8" t="str">
        <x:v>DSMR-2026-09-09-R07</x:v>
      </x:c>
      <x:c r="B8" t="str">
        <x:v>2026-09-09</x:v>
      </x:c>
      <x:c r="C8" t="n">
        <x:v>7</x:v>
      </x:c>
      <x:c r="D8" t="str">
        <x:v>NEW</x:v>
      </x:c>
      <x:c r="E8" t="str">
        <x:v>Dea Chavez</x:v>
      </x:c>
      <x:c r="F8" t="n">
        <x:v>5</x:v>
      </x:c>
      <x:c r="G8" t="str">
        <x:v>Cash</x:v>
      </x:c>
      <x:c r="H8" s="30" t="n">
        <x:v>1000</x:v>
      </x:c>
      <x:c r="I8" s="30" t="n">
        <x:v>1075</x:v>
      </x:c>
      <x:c r="J8" t="str">
        <x:v>Down Payment</x:v>
      </x:c>
      <x:c r="K8" t="str">
        <x:v>DP</x:v>
      </x:c>
      <x:c r="L8" t="str">
        <x:v>CONFIRMED</x:v>
      </x:c>
      <x:c r="M8" t="str">
        <x:v>PAPER_SOURCE</x:v>
      </x:c>
    </x:row>
    <x:row r="9">
      <x:c r="A9" t="str">
        <x:v>DSMR-2026-09-09-R08</x:v>
      </x:c>
      <x:c r="B9" t="str">
        <x:v>2026-09-09</x:v>
      </x:c>
      <x:c r="C9" t="n">
        <x:v>8</x:v>
      </x:c>
      <x:c r="D9" t="str">
        <x:v>NEW</x:v>
      </x:c>
      <x:c r="E9" t="str">
        <x:v>Karen Tupos</x:v>
      </x:c>
      <x:c r="F9" t="n">
        <x:v>3</x:v>
      </x:c>
      <x:c r="G9" t="str">
        <x:v>GCash</x:v>
      </x:c>
      <x:c r="H9" s="30" t="n">
        <x:v>1250</x:v>
      </x:c>
      <x:c r="I9" s="30"/>
      <x:c r="J9" t="str">
        <x:v>Fully Paid</x:v>
      </x:c>
      <x:c r="K9" t="str">
        <x:v>Fully paid</x:v>
      </x:c>
      <x:c r="L9" t="str">
        <x:v>CONFIRMED</x:v>
      </x:c>
      <x:c r="M9" t="str">
        <x:v>PAPER_SOURCE</x:v>
      </x:c>
    </x:row>
    <x:row r="10">
      <x:c r="A10" t="str">
        <x:v>DSMR-2026-09-09-R09</x:v>
      </x:c>
      <x:c r="B10" t="str">
        <x:v>2026-09-09</x:v>
      </x:c>
      <x:c r="C10" t="n">
        <x:v>9</x:v>
      </x:c>
      <x:c r="D10" t="str">
        <x:v>NEW</x:v>
      </x:c>
      <x:c r="E10" t="str">
        <x:v>Christian Job</x:v>
      </x:c>
      <x:c r="F10" t="n">
        <x:v>2</x:v>
      </x:c>
      <x:c r="G10" t="str">
        <x:v>GCash</x:v>
      </x:c>
      <x:c r="H10" s="30" t="n">
        <x:v>1100</x:v>
      </x:c>
      <x:c r="I10" s="30"/>
      <x:c r="J10" t="str">
        <x:v>Fully Paid</x:v>
      </x:c>
      <x:c r="K10" t="str">
        <x:v>Fully paid</x:v>
      </x:c>
      <x:c r="L10" t="str">
        <x:v>CONFIRMED</x:v>
      </x:c>
      <x:c r="M10" t="str">
        <x:v>PAPER_SOURCE</x:v>
      </x:c>
    </x:row>
    <x:row r="11">
      <x:c r="A11" t="str">
        <x:v>DSMR-2026-09-09-R10</x:v>
      </x:c>
      <x:c r="B11" t="str">
        <x:v>2026-09-09</x:v>
      </x:c>
      <x:c r="C11" t="n">
        <x:v>10</x:v>
      </x:c>
      <x:c r="D11" t="str">
        <x:v>NEW</x:v>
      </x:c>
      <x:c r="E11" t="str">
        <x:v>Lyndo Lao</x:v>
      </x:c>
      <x:c r="F11" t="n">
        <x:v>2</x:v>
      </x:c>
      <x:c r="G11" t="str">
        <x:v>GCash</x:v>
      </x:c>
      <x:c r="H11" s="30" t="n">
        <x:v>500</x:v>
      </x:c>
      <x:c r="I11" s="30" t="n">
        <x:v>900</x:v>
      </x:c>
      <x:c r="J11" t="str">
        <x:v>Down Payment</x:v>
      </x:c>
      <x:c r="K11" t="str">
        <x:v>DP</x:v>
      </x:c>
      <x:c r="L11" t="str">
        <x:v>CONFIRMED</x:v>
      </x:c>
      <x:c r="M11" t="str">
        <x:v>PAPER_SOURCE</x:v>
      </x:c>
    </x:row>
    <x:row r="12">
      <x:c r="A12" t="str">
        <x:v>DSMR-2026-09-09-R11</x:v>
      </x:c>
      <x:c r="B12" t="str">
        <x:v>2026-09-09</x:v>
      </x:c>
      <x:c r="C12" t="n">
        <x:v>11</x:v>
      </x:c>
      <x:c r="D12" t="str">
        <x:v>NEW</x:v>
      </x:c>
      <x:c r="E12" t="str">
        <x:v>Pete Tahil</x:v>
      </x:c>
      <x:c r="F12" t="n">
        <x:v>1</x:v>
      </x:c>
      <x:c r="G12" t="str">
        <x:v>Cash</x:v>
      </x:c>
      <x:c r="H12" s="30" t="n">
        <x:v>700</x:v>
      </x:c>
      <x:c r="I12" s="30"/>
      <x:c r="J12" t="str">
        <x:v>Fully Paid</x:v>
      </x:c>
      <x:c r="K12" t="str">
        <x:v>Fully paid</x:v>
      </x:c>
      <x:c r="L12" t="str">
        <x:v>CONFIRMED</x:v>
      </x:c>
      <x:c r="M12" t="str">
        <x:v>PAPER_SOURCE</x:v>
      </x:c>
    </x:row>
    <x:row r="13">
      <x:c r="A13" t="str">
        <x:v>DSMR-2026-09-09-R12</x:v>
      </x:c>
      <x:c r="B13" t="str">
        <x:v>2026-09-09</x:v>
      </x:c>
      <x:c r="C13" t="n">
        <x:v>12</x:v>
      </x:c>
      <x:c r="D13" t="str">
        <x:v>NEW</x:v>
      </x:c>
      <x:c r="E13" t="str">
        <x:v>Gibson</x:v>
      </x:c>
      <x:c r="F13" t="n">
        <x:v>4</x:v>
      </x:c>
      <x:c r="G13" t="str">
        <x:v>Not Yet Paid</x:v>
      </x:c>
      <x:c r="H13" s="30"/>
      <x:c r="I13" s="30" t="n">
        <x:v>3125</x:v>
      </x:c>
      <x:c r="J13" t="str">
        <x:v>Not Yet Paid</x:v>
      </x:c>
      <x:c r="K13" t="str">
        <x:v>Not Yet Paid</x:v>
      </x:c>
      <x:c r="L13" t="str">
        <x:v>CONFIRMED</x:v>
      </x:c>
      <x:c r="M13" t="str">
        <x:v>PAPER_SOURCE</x:v>
      </x:c>
    </x:row>
    <x:row r="14">
      <x:c r="A14" t="str">
        <x:v>DSMR-2026-09-09-R13</x:v>
      </x:c>
      <x:c r="B14" t="str">
        <x:v>2026-09-09</x:v>
      </x:c>
      <x:c r="C14" t="n">
        <x:v>13</x:v>
      </x:c>
      <x:c r="D14" t="str">
        <x:v>NEW</x:v>
      </x:c>
      <x:c r="E14" t="str">
        <x:v>Saludo</x:v>
      </x:c>
      <x:c r="F14" t="n">
        <x:v>1</x:v>
      </x:c>
      <x:c r="G14" t="str">
        <x:v>Not Yet Paid</x:v>
      </x:c>
      <x:c r="H14" s="30"/>
      <x:c r="I14" s="30" t="n">
        <x:v>575</x:v>
      </x:c>
      <x:c r="J14" t="str">
        <x:v>Not Yet Paid</x:v>
      </x:c>
      <x:c r="K14" t="str">
        <x:v>Not Yet Paid</x:v>
      </x:c>
      <x:c r="L14" t="str">
        <x:v>CONFIRMED</x:v>
      </x:c>
      <x:c r="M14" t="str">
        <x:v>PAPER_SOURCE</x:v>
      </x:c>
    </x:row>
    <x:row r="15">
      <x:c r="A15" t="str">
        <x:v>DSMR-2026-09-09-R14</x:v>
      </x:c>
      <x:c r="B15" t="str">
        <x:v>2026-09-09</x:v>
      </x:c>
      <x:c r="C15" t="n">
        <x:v>14</x:v>
      </x:c>
      <x:c r="D15" t="str">
        <x:v>NEW</x:v>
      </x:c>
      <x:c r="E15" t="str">
        <x:v>Mark Ontic</x:v>
      </x:c>
      <x:c r="F15" t="n">
        <x:v>1</x:v>
      </x:c>
      <x:c r="G15" t="str">
        <x:v>Cash</x:v>
      </x:c>
      <x:c r="H15" s="30" t="n">
        <x:v>300</x:v>
      </x:c>
      <x:c r="I15" s="30" t="n">
        <x:v>400</x:v>
      </x:c>
      <x:c r="J15" t="str">
        <x:v>Down Payment</x:v>
      </x:c>
      <x:c r="K15" t="str">
        <x:v>DP</x:v>
      </x:c>
      <x:c r="L15" t="str">
        <x:v>CONFIRMED</x:v>
      </x:c>
      <x:c r="M15" t="str">
        <x:v>PAPER_SOURCE</x:v>
      </x:c>
    </x:row>
    <x:row r="16">
      <x:c r="A16" t="str">
        <x:v>DSMR-2026-09-10-R01</x:v>
      </x:c>
      <x:c r="B16" t="str">
        <x:v>2026-09-10</x:v>
      </x:c>
      <x:c r="C16" t="n">
        <x:v>1</x:v>
      </x:c>
      <x:c r="D16" t="str">
        <x:v>CLAIM</x:v>
      </x:c>
      <x:c r="E16" t="str">
        <x:v>Sir Grunny</x:v>
      </x:c>
      <x:c r="F16" t="n">
        <x:v>1</x:v>
      </x:c>
      <x:c r="G16" t="str">
        <x:v>Cash</x:v>
      </x:c>
      <x:c r="H16" s="30" t="n">
        <x:v>475</x:v>
      </x:c>
      <x:c r="I16" s="30"/>
      <x:c r="J16" t="str">
        <x:v>Claim Payment</x:v>
      </x:c>
      <x:c r="K16" t="str">
        <x:v>Fully paid</x:v>
      </x:c>
      <x:c r="L16" t="str">
        <x:v>CONFIRMED</x:v>
      </x:c>
      <x:c r="M16" t="str">
        <x:v>PAPER_SOURCE</x:v>
      </x:c>
    </x:row>
    <x:row r="17">
      <x:c r="A17" t="str">
        <x:v>DSMR-2026-09-10-R02</x:v>
      </x:c>
      <x:c r="B17" t="str">
        <x:v>2026-09-10</x:v>
      </x:c>
      <x:c r="C17" t="n">
        <x:v>2</x:v>
      </x:c>
      <x:c r="D17" t="str">
        <x:v>NEW</x:v>
      </x:c>
      <x:c r="E17" t="str">
        <x:v>Vines Reuben</x:v>
      </x:c>
      <x:c r="F17" t="n">
        <x:v>1</x:v>
      </x:c>
      <x:c r="G17" t="str">
        <x:v>Cash</x:v>
      </x:c>
      <x:c r="H17" s="30" t="n">
        <x:v>475</x:v>
      </x:c>
      <x:c r="I17" s="30"/>
      <x:c r="J17" t="str">
        <x:v>Fully Paid</x:v>
      </x:c>
      <x:c r="K17" t="str">
        <x:v>Fully paid</x:v>
      </x:c>
      <x:c r="L17" t="str">
        <x:v>CONFIRMED</x:v>
      </x:c>
      <x:c r="M17" t="str">
        <x:v>PAPER_SOURCE</x:v>
      </x:c>
    </x:row>
    <x:row r="18">
      <x:c r="A18" t="str">
        <x:v>DSMR-2026-09-10-R03</x:v>
      </x:c>
      <x:c r="B18" t="str">
        <x:v>2026-09-10</x:v>
      </x:c>
      <x:c r="C18" t="n">
        <x:v>3</x:v>
      </x:c>
      <x:c r="D18" t="str">
        <x:v>NEW</x:v>
      </x:c>
      <x:c r="E18" t="str">
        <x:v>Jeremiah Valerio</x:v>
      </x:c>
      <x:c r="F18" t="n">
        <x:v>1</x:v>
      </x:c>
      <x:c r="G18" t="str">
        <x:v>Cash</x:v>
      </x:c>
      <x:c r="H18" s="30" t="n">
        <x:v>475</x:v>
      </x:c>
      <x:c r="I18" s="30"/>
      <x:c r="J18" t="str">
        <x:v>Fully Paid</x:v>
      </x:c>
      <x:c r="K18" t="str">
        <x:v>Fully paid</x:v>
      </x:c>
      <x:c r="L18" t="str">
        <x:v>CONFIRMED</x:v>
      </x:c>
      <x:c r="M18" t="str">
        <x:v>PAPER_SOURCE</x:v>
      </x:c>
    </x:row>
    <x:row r="19">
      <x:c r="A19" t="str">
        <x:v>DSMR-2026-09-10-R04</x:v>
      </x:c>
      <x:c r="B19" t="str">
        <x:v>2026-09-10</x:v>
      </x:c>
      <x:c r="C19" t="n">
        <x:v>4</x:v>
      </x:c>
      <x:c r="D19" t="str">
        <x:v>NEW</x:v>
      </x:c>
      <x:c r="E19" t="str">
        <x:v>Mark Aguilar</x:v>
      </x:c>
      <x:c r="F19" t="n">
        <x:v>2</x:v>
      </x:c>
      <x:c r="G19" t="str">
        <x:v>GCash</x:v>
      </x:c>
      <x:c r="H19" s="30" t="n">
        <x:v>1275</x:v>
      </x:c>
      <x:c r="I19" s="30"/>
      <x:c r="J19" t="str">
        <x:v>Fully Paid</x:v>
      </x:c>
      <x:c r="K19" t="str">
        <x:v>Fully paid</x:v>
      </x:c>
      <x:c r="L19" t="str">
        <x:v>CONFIRMED</x:v>
      </x:c>
      <x:c r="M19" t="str">
        <x:v>PAPER_SOURCE</x:v>
      </x:c>
    </x:row>
    <x:row r="20">
      <x:c r="A20" t="str">
        <x:v>DSMR-2026-09-10-R05</x:v>
      </x:c>
      <x:c r="B20" t="str">
        <x:v>2026-09-10</x:v>
      </x:c>
      <x:c r="C20" t="n">
        <x:v>5</x:v>
      </x:c>
      <x:c r="D20" t="str">
        <x:v>NEW</x:v>
      </x:c>
      <x:c r="E20" t="str">
        <x:v>Mabr D.</x:v>
      </x:c>
      <x:c r="F20" t="n">
        <x:v>1</x:v>
      </x:c>
      <x:c r="G20" t="str">
        <x:v>Cash</x:v>
      </x:c>
      <x:c r="H20" s="30" t="n">
        <x:v>200</x:v>
      </x:c>
      <x:c r="I20" s="30" t="n">
        <x:v>250</x:v>
      </x:c>
      <x:c r="J20" t="str">
        <x:v>Down Payment</x:v>
      </x:c>
      <x:c r="K20" t="str">
        <x:v>DP</x:v>
      </x:c>
      <x:c r="L20" t="str">
        <x:v>CONFIRMED</x:v>
      </x:c>
      <x:c r="M20" t="str">
        <x:v>PAPER_SOURCE</x:v>
      </x:c>
    </x:row>
    <x:row r="21">
      <x:c r="A21" t="str">
        <x:v>DSMR-2026-09-11-R01</x:v>
      </x:c>
      <x:c r="B21" t="str">
        <x:v>2026-09-11</x:v>
      </x:c>
      <x:c r="C21" t="n">
        <x:v>1</x:v>
      </x:c>
      <x:c r="D21" t="str">
        <x:v>CLAIM</x:v>
      </x:c>
      <x:c r="E21" t="str">
        <x:v>Janelle</x:v>
      </x:c>
      <x:c r="F21" t="n">
        <x:v>1</x:v>
      </x:c>
      <x:c r="G21" t="str">
        <x:v>GCash</x:v>
      </x:c>
      <x:c r="H21" s="30" t="n">
        <x:v>325</x:v>
      </x:c>
      <x:c r="I21" s="30"/>
      <x:c r="J21" t="str">
        <x:v>Claim Payment</x:v>
      </x:c>
      <x:c r="K21" t="str">
        <x:v>Fully paid</x:v>
      </x:c>
      <x:c r="L21" t="str">
        <x:v>CONFIRMED</x:v>
      </x:c>
      <x:c r="M21" t="str">
        <x:v>PAPER_SOURCE</x:v>
      </x:c>
    </x:row>
    <x:row r="22">
      <x:c r="A22" t="str">
        <x:v>DSMR-2026-09-11-R02</x:v>
      </x:c>
      <x:c r="B22" t="str">
        <x:v>2026-09-11</x:v>
      </x:c>
      <x:c r="C22" t="n">
        <x:v>2</x:v>
      </x:c>
      <x:c r="D22" t="str">
        <x:v>CLAIM</x:v>
      </x:c>
      <x:c r="E22" t="str">
        <x:v>Mark Ontic</x:v>
      </x:c>
      <x:c r="F22" t="n">
        <x:v>1</x:v>
      </x:c>
      <x:c r="G22" t="str">
        <x:v>Cash</x:v>
      </x:c>
      <x:c r="H22" s="30" t="n">
        <x:v>400</x:v>
      </x:c>
      <x:c r="I22" s="30"/>
      <x:c r="J22" t="str">
        <x:v>Claim Payment</x:v>
      </x:c>
      <x:c r="K22" t="str">
        <x:v>Fully paid</x:v>
      </x:c>
      <x:c r="L22" t="str">
        <x:v>CONFIRMED</x:v>
      </x:c>
      <x:c r="M22" t="str">
        <x:v>PAPER_SOURCE</x:v>
      </x:c>
    </x:row>
    <x:row r="23">
      <x:c r="A23" t="str">
        <x:v>DSMR-2026-09-11-R03</x:v>
      </x:c>
      <x:c r="B23" t="str">
        <x:v>2026-09-11</x:v>
      </x:c>
      <x:c r="C23" t="n">
        <x:v>3</x:v>
      </x:c>
      <x:c r="D23" t="str">
        <x:v>CLAIM</x:v>
      </x:c>
      <x:c r="E23" t="str">
        <x:v>Denzel</x:v>
      </x:c>
      <x:c r="F23" t="n">
        <x:v>2</x:v>
      </x:c>
      <x:c r="G23" t="str">
        <x:v>GCash</x:v>
      </x:c>
      <x:c r="H23" s="30" t="n">
        <x:v>325</x:v>
      </x:c>
      <x:c r="I23" s="30"/>
      <x:c r="J23" t="str">
        <x:v>Claim Payment</x:v>
      </x:c>
      <x:c r="K23" t="str">
        <x:v>Fully paid</x:v>
      </x:c>
      <x:c r="L23" t="str">
        <x:v>CONFIRMED</x:v>
      </x:c>
      <x:c r="M23" t="str">
        <x:v>PAPER_SOURCE</x:v>
      </x:c>
    </x:row>
    <x:row r="24">
      <x:c r="A24" t="str">
        <x:v>DSMR-2026-09-11-R04</x:v>
      </x:c>
      <x:c r="B24" t="str">
        <x:v>2026-09-11</x:v>
      </x:c>
      <x:c r="C24" t="n">
        <x:v>4</x:v>
      </x:c>
      <x:c r="D24" t="str">
        <x:v>NEW</x:v>
      </x:c>
      <x:c r="E24" t="str">
        <x:v>Robert Yera Sr.</x:v>
      </x:c>
      <x:c r="F24" t="n">
        <x:v>2</x:v>
      </x:c>
      <x:c r="G24" t="str">
        <x:v>Cash</x:v>
      </x:c>
      <x:c r="H24" s="30" t="n">
        <x:v>520</x:v>
      </x:c>
      <x:c r="I24" s="30" t="n">
        <x:v>650</x:v>
      </x:c>
      <x:c r="J24" t="str">
        <x:v>Down Payment</x:v>
      </x:c>
      <x:c r="K24" t="str">
        <x:v>DP</x:v>
      </x:c>
      <x:c r="L24" t="str">
        <x:v>CONFIRMED</x:v>
      </x:c>
      <x:c r="M24" t="str">
        <x:v>PAPER_SOURCE</x:v>
      </x:c>
    </x:row>
    <x:row r="25">
      <x:c r="A25" t="str">
        <x:v>DSMR-2026-09-11-R05</x:v>
      </x:c>
      <x:c r="B25" t="str">
        <x:v>2026-09-11</x:v>
      </x:c>
      <x:c r="C25" t="n">
        <x:v>5</x:v>
      </x:c>
      <x:c r="D25" t="str">
        <x:v>NEW</x:v>
      </x:c>
      <x:c r="E25" t="str">
        <x:v>Janelle Kahano</x:v>
      </x:c>
      <x:c r="F25" t="n">
        <x:v>1</x:v>
      </x:c>
      <x:c r="G25" t="str">
        <x:v>GCash</x:v>
      </x:c>
      <x:c r="H25" s="30" t="n">
        <x:v>105</x:v>
      </x:c>
      <x:c r="I25" s="30" t="n">
        <x:v>100</x:v>
      </x:c>
      <x:c r="J25" t="str">
        <x:v>Down Payment</x:v>
      </x:c>
      <x:c r="K25" t="str">
        <x:v>DP</x:v>
      </x:c>
      <x:c r="L25" t="str">
        <x:v>CONFIRMED</x:v>
      </x:c>
      <x:c r="M25" t="str">
        <x:v>PAPER_SOURCE</x:v>
      </x:c>
    </x:row>
    <x:row r="26">
      <x:c r="A26" t="str">
        <x:v>DSMR-2026-09-11-R06</x:v>
      </x:c>
      <x:c r="B26" t="str">
        <x:v>2026-09-11</x:v>
      </x:c>
      <x:c r="C26" t="n">
        <x:v>6</x:v>
      </x:c>
      <x:c r="D26" t="str">
        <x:v>NEW</x:v>
      </x:c>
      <x:c r="E26" t="str">
        <x:v>Nicka Alkuino</x:v>
      </x:c>
      <x:c r="F26" t="n">
        <x:v>1</x:v>
      </x:c>
      <x:c r="G26" t="str">
        <x:v>GCash</x:v>
      </x:c>
      <x:c r="H26" s="30" t="n">
        <x:v>275</x:v>
      </x:c>
      <x:c r="I26" s="30" t="n">
        <x:v>275</x:v>
      </x:c>
      <x:c r="J26" t="str">
        <x:v>Down Payment</x:v>
      </x:c>
      <x:c r="K26" t="str">
        <x:v>DP</x:v>
      </x:c>
      <x:c r="L26" t="str">
        <x:v>CONFIRMED</x:v>
      </x:c>
      <x:c r="M26" t="str">
        <x:v>PAPER_SOURCE</x:v>
      </x:c>
    </x:row>
    <x:row r="27">
      <x:c r="A27" t="str">
        <x:v>DSMR-2026-09-11-R07</x:v>
      </x:c>
      <x:c r="B27" t="str">
        <x:v>2026-09-11</x:v>
      </x:c>
      <x:c r="C27" t="n">
        <x:v>7</x:v>
      </x:c>
      <x:c r="D27" t="str">
        <x:v>NEW</x:v>
      </x:c>
      <x:c r="E27" t="str">
        <x:v>Dicky Flora</x:v>
      </x:c>
      <x:c r="F27" t="n">
        <x:v>1</x:v>
      </x:c>
      <x:c r="G27" t="str">
        <x:v>Cash</x:v>
      </x:c>
      <x:c r="H27" s="30" t="n">
        <x:v>150</x:v>
      </x:c>
      <x:c r="I27" s="30" t="n">
        <x:v>175</x:v>
      </x:c>
      <x:c r="J27" t="str">
        <x:v>Down Payment</x:v>
      </x:c>
      <x:c r="K27" t="str">
        <x:v>DP</x:v>
      </x:c>
      <x:c r="L27" t="str">
        <x:v>CONFIRMED</x:v>
      </x:c>
      <x:c r="M27" t="str">
        <x:v>PAPER_SOURCE</x:v>
      </x:c>
    </x:row>
    <x:row r="28">
      <x:c r="A28" t="str">
        <x:v>DSMR-2026-09-11-R08</x:v>
      </x:c>
      <x:c r="B28" t="str">
        <x:v>2026-09-11</x:v>
      </x:c>
      <x:c r="C28" t="n">
        <x:v>8</x:v>
      </x:c>
      <x:c r="D28" t="str">
        <x:v>NEW</x:v>
      </x:c>
      <x:c r="E28" t="str">
        <x:v>Albert Pacuno</x:v>
      </x:c>
      <x:c r="F28" t="n">
        <x:v>1</x:v>
      </x:c>
      <x:c r="G28" t="str">
        <x:v>GCash</x:v>
      </x:c>
      <x:c r="H28" s="30" t="n">
        <x:v>325</x:v>
      </x:c>
      <x:c r="I28" s="30"/>
      <x:c r="J28" t="str">
        <x:v>Fully Paid</x:v>
      </x:c>
      <x:c r="K28" t="str">
        <x:v>Fully paid</x:v>
      </x:c>
      <x:c r="L28" t="str">
        <x:v>CONFIRMED</x:v>
      </x:c>
      <x:c r="M28" t="str">
        <x:v>PAPER_SOURCE</x:v>
      </x:c>
    </x:row>
    <x:row r="29">
      <x:c r="A29" t="str">
        <x:v>DSMR-2026-09-11-R09</x:v>
      </x:c>
      <x:c r="B29" t="str">
        <x:v>2026-09-11</x:v>
      </x:c>
      <x:c r="C29" t="n">
        <x:v>9</x:v>
      </x:c>
      <x:c r="D29" t="str">
        <x:v>NEW</x:v>
      </x:c>
      <x:c r="E29" t="str">
        <x:v>Jley Penesa</x:v>
      </x:c>
      <x:c r="F29" t="n">
        <x:v>3</x:v>
      </x:c>
      <x:c r="G29" t="str">
        <x:v>GCash</x:v>
      </x:c>
      <x:c r="H29" s="30" t="n">
        <x:v>1025</x:v>
      </x:c>
      <x:c r="I29" s="30" t="n">
        <x:v>1000</x:v>
      </x:c>
      <x:c r="J29" t="str">
        <x:v>Down Payment</x:v>
      </x:c>
      <x:c r="K29" t="str">
        <x:v>DP</x:v>
      </x:c>
      <x:c r="L29" t="str">
        <x:v>CONFIRMED</x:v>
      </x:c>
      <x:c r="M29" t="str">
        <x:v>PAPER_SOURCE</x:v>
      </x:c>
    </x:row>
    <x:row r="30">
      <x:c r="A30" t="str">
        <x:v>DSMR-2026-09-11-R10</x:v>
      </x:c>
      <x:c r="B30" t="str">
        <x:v>2026-09-11</x:v>
      </x:c>
      <x:c r="C30" t="n">
        <x:v>10</x:v>
      </x:c>
      <x:c r="D30" t="str">
        <x:v>NEW</x:v>
      </x:c>
      <x:c r="E30" t="str">
        <x:v>Jeivce Velasco</x:v>
      </x:c>
      <x:c r="F30" t="n">
        <x:v>1</x:v>
      </x:c>
      <x:c r="G30"/>
      <x:c r="H30" s="30"/>
      <x:c r="I30" s="30"/>
      <x:c r="J30" t="str">
        <x:v>Unclear</x:v>
      </x:c>
      <x:c r="K30" t="str">
        <x:v>Back Job</x:v>
      </x:c>
      <x:c r="L30" t="str">
        <x:v>CONFIRMED</x:v>
      </x:c>
      <x:c r="M30" t="str">
        <x:v>PAPER_SOURCE</x:v>
      </x:c>
    </x:row>
    <x:row r="31">
      <x:c r="A31" t="str">
        <x:v>DSMR-2026-09-11-R11</x:v>
      </x:c>
      <x:c r="B31" t="str">
        <x:v>2026-09-11</x:v>
      </x:c>
      <x:c r="C31" t="n">
        <x:v>11</x:v>
      </x:c>
      <x:c r="D31" t="str">
        <x:v>NEW</x:v>
      </x:c>
      <x:c r="E31" t="str">
        <x:v>Gyser Inoro</x:v>
      </x:c>
      <x:c r="F31" t="n">
        <x:v>1</x:v>
      </x:c>
      <x:c r="G31" t="str">
        <x:v>Cash</x:v>
      </x:c>
      <x:c r="H31" s="30" t="n">
        <x:v>475</x:v>
      </x:c>
      <x:c r="I31" s="30"/>
      <x:c r="J31" t="str">
        <x:v>Fully Paid</x:v>
      </x:c>
      <x:c r="K31" t="str">
        <x:v>Fully paid</x:v>
      </x:c>
      <x:c r="L31" t="str">
        <x:v>CONFIRMED</x:v>
      </x:c>
      <x:c r="M31" t="str">
        <x:v>PAPER_SOURCE</x:v>
      </x:c>
    </x:row>
    <x:row r="32">
      <x:c r="A32" t="str">
        <x:v>DSMR-2026-09-11-R12</x:v>
      </x:c>
      <x:c r="B32" t="str">
        <x:v>2026-09-11</x:v>
      </x:c>
      <x:c r="C32" t="n">
        <x:v>12</x:v>
      </x:c>
      <x:c r="D32" t="str">
        <x:v>NEW</x:v>
      </x:c>
      <x:c r="E32" t="str">
        <x:v>Rheiner Martinez</x:v>
      </x:c>
      <x:c r="F32" t="n">
        <x:v>1</x:v>
      </x:c>
      <x:c r="G32" t="str">
        <x:v>Cash</x:v>
      </x:c>
      <x:c r="H32" s="30" t="n">
        <x:v>50</x:v>
      </x:c>
      <x:c r="I32" s="30" t="n">
        <x:v>375</x:v>
      </x:c>
      <x:c r="J32" t="str">
        <x:v>Down Payment</x:v>
      </x:c>
      <x:c r="K32" t="str">
        <x:v>DP</x:v>
      </x:c>
      <x:c r="L32" t="str">
        <x:v>CONFIRMED</x:v>
      </x:c>
      <x:c r="M32" t="str">
        <x:v>PAPER_SOURCE</x:v>
      </x:c>
    </x:row>
    <x:row r="33">
      <x:c r="A33" t="str">
        <x:v>DSMR-2026-09-11-R13</x:v>
      </x:c>
      <x:c r="B33" t="str">
        <x:v>2026-09-11</x:v>
      </x:c>
      <x:c r="C33" t="n">
        <x:v>13</x:v>
      </x:c>
      <x:c r="D33" t="str">
        <x:v>NEW</x:v>
      </x:c>
      <x:c r="E33" t="str">
        <x:v>Frank Emilia</x:v>
      </x:c>
      <x:c r="F33" t="n">
        <x:v>1</x:v>
      </x:c>
      <x:c r="G33" t="str">
        <x:v>Cash</x:v>
      </x:c>
      <x:c r="H33" s="30" t="n">
        <x:v>550</x:v>
      </x:c>
      <x:c r="I33" s="30"/>
      <x:c r="J33" t="str">
        <x:v>Fully Paid</x:v>
      </x:c>
      <x:c r="K33" t="str">
        <x:v>Fully paid</x:v>
      </x:c>
      <x:c r="L33" t="str">
        <x:v>CONFIRMED</x:v>
      </x:c>
      <x:c r="M33" t="str">
        <x:v>PAPER_SOURCE</x:v>
      </x:c>
    </x:row>
    <x:row r="34">
      <x:c r="A34" t="str">
        <x:v>DSMR-2026-09-12-R01</x:v>
      </x:c>
      <x:c r="B34" t="str">
        <x:v>2026-09-12</x:v>
      </x:c>
      <x:c r="C34" t="n">
        <x:v>1</x:v>
      </x:c>
      <x:c r="D34" t="str">
        <x:v>CLAIM</x:v>
      </x:c>
      <x:c r="E34" t="str">
        <x:v>Lyndo Lao</x:v>
      </x:c>
      <x:c r="F34" t="n">
        <x:v>2</x:v>
      </x:c>
      <x:c r="G34" t="str">
        <x:v>GCash</x:v>
      </x:c>
      <x:c r="H34" s="30" t="n">
        <x:v>900</x:v>
      </x:c>
      <x:c r="I34" s="30"/>
      <x:c r="J34" t="str">
        <x:v>Claim Payment</x:v>
      </x:c>
      <x:c r="K34" t="str">
        <x:v>Fully paid</x:v>
      </x:c>
      <x:c r="L34" t="str">
        <x:v>CONFIRMED</x:v>
      </x:c>
      <x:c r="M34" t="str">
        <x:v>PAPER_SOURCE</x:v>
      </x:c>
    </x:row>
    <x:row r="35">
      <x:c r="A35" t="str">
        <x:v>DSMR-2026-09-12-R02</x:v>
      </x:c>
      <x:c r="B35" t="str">
        <x:v>2026-09-12</x:v>
      </x:c>
      <x:c r="C35" t="n">
        <x:v>2</x:v>
      </x:c>
      <x:c r="D35" t="str">
        <x:v>NEW</x:v>
      </x:c>
      <x:c r="E35" t="str">
        <x:v>Wendel Fabro</x:v>
      </x:c>
      <x:c r="F35" t="n">
        <x:v>3</x:v>
      </x:c>
      <x:c r="G35" t="str">
        <x:v>GCash</x:v>
      </x:c>
      <x:c r="H35" s="30" t="n">
        <x:v>725</x:v>
      </x:c>
      <x:c r="I35" s="30" t="n">
        <x:v>1000</x:v>
      </x:c>
      <x:c r="J35" t="str">
        <x:v>Down Payment</x:v>
      </x:c>
      <x:c r="K35" t="str">
        <x:v>DP</x:v>
      </x:c>
      <x:c r="L35" t="str">
        <x:v>CONFIRMED</x:v>
      </x:c>
      <x:c r="M35" t="str">
        <x:v>PAPER_SOURCE</x:v>
      </x:c>
    </x:row>
    <x:row r="36">
      <x:c r="A36" t="str">
        <x:v>DSMR-2026-09-12-R03</x:v>
      </x:c>
      <x:c r="B36" t="str">
        <x:v>2026-09-12</x:v>
      </x:c>
      <x:c r="C36" t="n">
        <x:v>3</x:v>
      </x:c>
      <x:c r="D36" t="str">
        <x:v>NEW</x:v>
      </x:c>
      <x:c r="E36" t="str">
        <x:v>Leslie Auderia</x:v>
      </x:c>
      <x:c r="F36" t="n">
        <x:v>5</x:v>
      </x:c>
      <x:c r="G36" t="str">
        <x:v>GCash</x:v>
      </x:c>
      <x:c r="H36" s="30" t="n">
        <x:v>2610</x:v>
      </x:c>
      <x:c r="I36" s="30"/>
      <x:c r="J36" t="str">
        <x:v>Fully Paid</x:v>
      </x:c>
      <x:c r="K36" t="str">
        <x:v>Fully paid</x:v>
      </x:c>
      <x:c r="L36" t="str">
        <x:v>CONFIRMED</x:v>
      </x:c>
      <x:c r="M36" t="str">
        <x:v>PAPER_SOURCE</x:v>
      </x:c>
    </x:row>
    <x:row r="37">
      <x:c r="A37" t="str">
        <x:v>DSMR-2026-09-12-R04</x:v>
      </x:c>
      <x:c r="B37" t="str">
        <x:v>2026-09-12</x:v>
      </x:c>
      <x:c r="C37" t="n">
        <x:v>4</x:v>
      </x:c>
      <x:c r="D37" t="str">
        <x:v>NEW</x:v>
      </x:c>
      <x:c r="E37" t="str">
        <x:v>Kennise Delgaco</x:v>
      </x:c>
      <x:c r="F37" t="n">
        <x:v>2</x:v>
      </x:c>
      <x:c r="G37" t="str">
        <x:v>GCash</x:v>
      </x:c>
      <x:c r="H37" s="30" t="n">
        <x:v>650</x:v>
      </x:c>
      <x:c r="I37" s="30"/>
      <x:c r="J37" t="str">
        <x:v>Fully Paid</x:v>
      </x:c>
      <x:c r="K37" t="str">
        <x:v>Fully paid</x:v>
      </x:c>
      <x:c r="L37" t="str">
        <x:v>CONFIRMED</x:v>
      </x:c>
      <x:c r="M37" t="str">
        <x:v>PAPER_SOURCE</x:v>
      </x:c>
    </x:row>
    <x:row r="38">
      <x:c r="A38" t="str">
        <x:v>DSMR-2026-09-12-R05</x:v>
      </x:c>
      <x:c r="B38" t="str">
        <x:v>2026-09-12</x:v>
      </x:c>
      <x:c r="C38" t="n">
        <x:v>5</x:v>
      </x:c>
      <x:c r="D38" t="str">
        <x:v>NEW</x:v>
      </x:c>
      <x:c r="E38" t="str">
        <x:v>Jerome Ramirez</x:v>
      </x:c>
      <x:c r="F38" t="n">
        <x:v>2</x:v>
      </x:c>
      <x:c r="G38" t="str">
        <x:v>GCash</x:v>
      </x:c>
      <x:c r="H38" s="30" t="n">
        <x:v>512</x:v>
      </x:c>
      <x:c r="I38" s="30" t="n">
        <x:v>513</x:v>
      </x:c>
      <x:c r="J38" t="str">
        <x:v>Down Payment</x:v>
      </x:c>
      <x:c r="K38" t="str">
        <x:v>DP</x:v>
      </x:c>
      <x:c r="L38" t="str">
        <x:v>CONFIRMED</x:v>
      </x:c>
      <x:c r="M38" t="str">
        <x:v>PAPER_SOURCE</x:v>
      </x:c>
    </x:row>
    <x:row r="39">
      <x:c r="A39" t="str">
        <x:v>DSMR-2026-09-12-R06</x:v>
      </x:c>
      <x:c r="B39" t="str">
        <x:v>2026-09-12</x:v>
      </x:c>
      <x:c r="C39" t="n">
        <x:v>6</x:v>
      </x:c>
      <x:c r="D39" t="str">
        <x:v>NEW</x:v>
      </x:c>
      <x:c r="E39" t="str">
        <x:v>Sebastian Casa</x:v>
      </x:c>
      <x:c r="F39" t="n">
        <x:v>1</x:v>
      </x:c>
      <x:c r="G39" t="str">
        <x:v>Cash</x:v>
      </x:c>
      <x:c r="H39" s="30" t="n">
        <x:v>325</x:v>
      </x:c>
      <x:c r="I39" s="30" t="n">
        <x:v>125</x:v>
      </x:c>
      <x:c r="J39" t="str">
        <x:v>Down Payment</x:v>
      </x:c>
      <x:c r="K39" t="str">
        <x:v>DP</x:v>
      </x:c>
      <x:c r="L39" t="str">
        <x:v>CONFIRMED</x:v>
      </x:c>
      <x:c r="M39" t="str">
        <x:v>PAPER_SOURCE</x:v>
      </x:c>
    </x:row>
    <x:row r="40">
      <x:c r="A40" t="str">
        <x:v>DSMR-2026-09-14-R01</x:v>
      </x:c>
      <x:c r="B40" t="str">
        <x:v>2026-09-14</x:v>
      </x:c>
      <x:c r="C40" t="n">
        <x:v>1</x:v>
      </x:c>
      <x:c r="D40" t="str">
        <x:v>CLAIM</x:v>
      </x:c>
      <x:c r="E40" t="str">
        <x:v>Eugenia</x:v>
      </x:c>
      <x:c r="F40" t="n">
        <x:v>3</x:v>
      </x:c>
      <x:c r="G40" t="str">
        <x:v>Cash</x:v>
      </x:c>
      <x:c r="H40" s="30" t="n">
        <x:v>850</x:v>
      </x:c>
      <x:c r="I40" s="30"/>
      <x:c r="J40" t="str">
        <x:v>Claim Payment</x:v>
      </x:c>
      <x:c r="K40" t="str">
        <x:v>Fully paid</x:v>
      </x:c>
      <x:c r="L40" t="str">
        <x:v>CONFIRMED</x:v>
      </x:c>
      <x:c r="M40" t="str">
        <x:v>PAPER_SOURCE</x:v>
      </x:c>
    </x:row>
    <x:row r="41">
      <x:c r="A41" t="str">
        <x:v>DSMR-2026-09-14-R02</x:v>
      </x:c>
      <x:c r="B41" t="str">
        <x:v>2026-09-14</x:v>
      </x:c>
      <x:c r="C41" t="n">
        <x:v>2</x:v>
      </x:c>
      <x:c r="D41" t="str">
        <x:v>CLAIM</x:v>
      </x:c>
      <x:c r="E41" t="str">
        <x:v>Leo</x:v>
      </x:c>
      <x:c r="F41" t="n">
        <x:v>1</x:v>
      </x:c>
      <x:c r="G41" t="str">
        <x:v>Cash</x:v>
      </x:c>
      <x:c r="H41" s="30" t="n">
        <x:v>575</x:v>
      </x:c>
      <x:c r="I41" s="30"/>
      <x:c r="J41" t="str">
        <x:v>Claim Payment</x:v>
      </x:c>
      <x:c r="K41" t="str">
        <x:v>Fully paid</x:v>
      </x:c>
      <x:c r="L41" t="str">
        <x:v>CONFIRMED</x:v>
      </x:c>
      <x:c r="M41" t="str">
        <x:v>PAPER_SOURCE</x:v>
      </x:c>
    </x:row>
    <x:row r="42">
      <x:c r="A42" t="str">
        <x:v>DSMR-2026-09-14-R03</x:v>
      </x:c>
      <x:c r="B42" t="str">
        <x:v>2026-09-14</x:v>
      </x:c>
      <x:c r="C42" t="n">
        <x:v>3</x:v>
      </x:c>
      <x:c r="D42" t="str">
        <x:v>CLAIM</x:v>
      </x:c>
      <x:c r="E42" t="str">
        <x:v>Jay S.</x:v>
      </x:c>
      <x:c r="F42" t="n">
        <x:v>1</x:v>
      </x:c>
      <x:c r="G42" t="str">
        <x:v>Cash</x:v>
      </x:c>
      <x:c r="H42" s="30" t="n">
        <x:v>600</x:v>
      </x:c>
      <x:c r="I42" s="30"/>
      <x:c r="J42" t="str">
        <x:v>Claim Payment</x:v>
      </x:c>
      <x:c r="K42" t="str">
        <x:v>Fully paid</x:v>
      </x:c>
      <x:c r="L42" t="str">
        <x:v>CONFIRMED</x:v>
      </x:c>
      <x:c r="M42" t="str">
        <x:v>PAPER_SOURCE</x:v>
      </x:c>
    </x:row>
    <x:row r="43">
      <x:c r="A43" t="str">
        <x:v>DSMR-2026-09-14-R04</x:v>
      </x:c>
      <x:c r="B43" t="str">
        <x:v>2026-09-14</x:v>
      </x:c>
      <x:c r="C43" t="n">
        <x:v>4</x:v>
      </x:c>
      <x:c r="D43" t="str">
        <x:v>CLAIM</x:v>
      </x:c>
      <x:c r="E43" t="str">
        <x:v>Maria</x:v>
      </x:c>
      <x:c r="F43" t="n">
        <x:v>1</x:v>
      </x:c>
      <x:c r="G43" t="str">
        <x:v>Cash</x:v>
      </x:c>
      <x:c r="H43" s="30" t="n">
        <x:v>325</x:v>
      </x:c>
      <x:c r="I43" s="30"/>
      <x:c r="J43" t="str">
        <x:v>Claim Payment</x:v>
      </x:c>
      <x:c r="K43" t="str">
        <x:v>Fully paid</x:v>
      </x:c>
      <x:c r="L43" t="str">
        <x:v>CONFIRMED</x:v>
      </x:c>
      <x:c r="M43" t="str">
        <x:v>PAPER_SOURCE</x:v>
      </x:c>
    </x:row>
    <x:row r="44">
      <x:c r="A44" t="str">
        <x:v>DSMR-2026-09-14-R05</x:v>
      </x:c>
      <x:c r="B44" t="str">
        <x:v>2026-09-14</x:v>
      </x:c>
      <x:c r="C44" t="n">
        <x:v>5</x:v>
      </x:c>
      <x:c r="D44" t="str">
        <x:v>CLAIM</x:v>
      </x:c>
      <x:c r="E44" t="str">
        <x:v>Nathalie</x:v>
      </x:c>
      <x:c r="F44" t="n">
        <x:v>1</x:v>
      </x:c>
      <x:c r="G44" t="str">
        <x:v>Cash</x:v>
      </x:c>
      <x:c r="H44" s="30" t="n">
        <x:v>25</x:v>
      </x:c>
      <x:c r="I44" s="30"/>
      <x:c r="J44" t="str">
        <x:v>Claim Payment</x:v>
      </x:c>
      <x:c r="K44" t="str">
        <x:v>Fully paid</x:v>
      </x:c>
      <x:c r="L44" t="str">
        <x:v>CONFIRMED</x:v>
      </x:c>
      <x:c r="M44" t="str">
        <x:v>PAPER_SOURCE</x:v>
      </x:c>
    </x:row>
    <x:row r="45">
      <x:c r="A45" t="str">
        <x:v>DSMR-2026-09-14-R06</x:v>
      </x:c>
      <x:c r="B45" t="str">
        <x:v>2026-09-14</x:v>
      </x:c>
      <x:c r="C45" t="n">
        <x:v>6</x:v>
      </x:c>
      <x:c r="D45" t="str">
        <x:v>CLAIM</x:v>
      </x:c>
      <x:c r="E45" t="str">
        <x:v>Christian</x:v>
      </x:c>
      <x:c r="F45" t="n">
        <x:v>3</x:v>
      </x:c>
      <x:c r="G45" t="str">
        <x:v>GCash</x:v>
      </x:c>
      <x:c r="H45" s="30" t="n">
        <x:v>1000</x:v>
      </x:c>
      <x:c r="I45" s="30"/>
      <x:c r="J45" t="str">
        <x:v>Claim Payment</x:v>
      </x:c>
      <x:c r="K45" t="str">
        <x:v>Fully paid</x:v>
      </x:c>
      <x:c r="L45" t="str">
        <x:v>CONFIRMED</x:v>
      </x:c>
      <x:c r="M45" t="str">
        <x:v>PAPER_SOURCE</x:v>
      </x:c>
    </x:row>
    <x:row r="46">
      <x:c r="A46" t="str">
        <x:v>DSMR-2026-09-14-R07</x:v>
      </x:c>
      <x:c r="B46" t="str">
        <x:v>2026-09-14</x:v>
      </x:c>
      <x:c r="C46" t="n">
        <x:v>7</x:v>
      </x:c>
      <x:c r="D46" t="str">
        <x:v>CLAIM</x:v>
      </x:c>
      <x:c r="E46" t="str">
        <x:v>John Ryan</x:v>
      </x:c>
      <x:c r="F46" t="n">
        <x:v>1</x:v>
      </x:c>
      <x:c r="G46" t="str">
        <x:v>GCash</x:v>
      </x:c>
      <x:c r="H46" s="30" t="n">
        <x:v>275</x:v>
      </x:c>
      <x:c r="I46" s="30"/>
      <x:c r="J46" t="str">
        <x:v>Claim Payment</x:v>
      </x:c>
      <x:c r="K46" t="str">
        <x:v>Fully paid</x:v>
      </x:c>
      <x:c r="L46" t="str">
        <x:v>CONFIRMED</x:v>
      </x:c>
      <x:c r="M46" t="str">
        <x:v>PAPER_SOURCE</x:v>
      </x:c>
    </x:row>
    <x:row r="47">
      <x:c r="A47" t="str">
        <x:v>DSMR-2026-09-14-R08</x:v>
      </x:c>
      <x:c r="B47" t="str">
        <x:v>2026-09-14</x:v>
      </x:c>
      <x:c r="C47" t="n">
        <x:v>8</x:v>
      </x:c>
      <x:c r="D47" t="str">
        <x:v>CLAIM</x:v>
      </x:c>
      <x:c r="E47" t="str">
        <x:v>[UNRESOLVED]</x:v>
      </x:c>
      <x:c r="F47" t="n">
        <x:v>3</x:v>
      </x:c>
      <x:c r="G47" t="str">
        <x:v>GCash</x:v>
      </x:c>
      <x:c r="H47" s="30" t="n">
        <x:v>1000</x:v>
      </x:c>
      <x:c r="I47" s="30"/>
      <x:c r="J47" t="str">
        <x:v>Claim Payment</x:v>
      </x:c>
      <x:c r="K47" t="str">
        <x:v>Fully paid</x:v>
      </x:c>
      <x:c r="L47" t="str">
        <x:v>UNCLEAR</x:v>
      </x:c>
      <x:c r="M47" t="str">
        <x:v>PAPER_SOURCE</x:v>
      </x:c>
    </x:row>
    <x:row r="48">
      <x:c r="A48" t="str">
        <x:v>DSMR-2026-09-14-R09</x:v>
      </x:c>
      <x:c r="B48" t="str">
        <x:v>2026-09-14</x:v>
      </x:c>
      <x:c r="C48" t="n">
        <x:v>9</x:v>
      </x:c>
      <x:c r="D48" t="str">
        <x:v>CLAIM</x:v>
      </x:c>
      <x:c r="E48" t="str">
        <x:v>Derick</x:v>
      </x:c>
      <x:c r="F48" t="n">
        <x:v>1</x:v>
      </x:c>
      <x:c r="G48" t="str">
        <x:v>GCash</x:v>
      </x:c>
      <x:c r="H48" s="30" t="n">
        <x:v>800</x:v>
      </x:c>
      <x:c r="I48" s="30"/>
      <x:c r="J48" t="str">
        <x:v>Claim Payment</x:v>
      </x:c>
      <x:c r="K48" t="str">
        <x:v>Fully paid</x:v>
      </x:c>
      <x:c r="L48" t="str">
        <x:v>CONFIRMED</x:v>
      </x:c>
      <x:c r="M48" t="str">
        <x:v>PAPER_SOURCE</x:v>
      </x:c>
    </x:row>
    <x:row r="49">
      <x:c r="A49" t="str">
        <x:v>DSMR-2026-09-14-R10</x:v>
      </x:c>
      <x:c r="B49" t="str">
        <x:v>2026-09-14</x:v>
      </x:c>
      <x:c r="C49" t="n">
        <x:v>10</x:v>
      </x:c>
      <x:c r="D49" t="str">
        <x:v>NEW</x:v>
      </x:c>
      <x:c r="E49" t="str">
        <x:v>Ernest Agapay / Acapulco</x:v>
      </x:c>
      <x:c r="F49" t="n">
        <x:v>1</x:v>
      </x:c>
      <x:c r="G49" t="str">
        <x:v>GCash</x:v>
      </x:c>
      <x:c r="H49" s="30" t="n">
        <x:v>925</x:v>
      </x:c>
      <x:c r="I49" s="30"/>
      <x:c r="J49" t="str">
        <x:v>Fully Paid</x:v>
      </x:c>
      <x:c r="K49" t="str">
        <x:v>Fully paid</x:v>
      </x:c>
      <x:c r="L49" t="str">
        <x:v>MANUAL REVIEW</x:v>
      </x:c>
      <x:c r="M49" t="str">
        <x:v>PAPER_SOURCE</x:v>
      </x:c>
    </x:row>
    <x:row r="50">
      <x:c r="A50" t="str">
        <x:v>DSMR-2026-09-14-R11</x:v>
      </x:c>
      <x:c r="B50" t="str">
        <x:v>2026-09-14</x:v>
      </x:c>
      <x:c r="C50" t="n">
        <x:v>11</x:v>
      </x:c>
      <x:c r="D50" t="str">
        <x:v>NEW</x:v>
      </x:c>
      <x:c r="E50" t="str">
        <x:v>Raphael Puncino</x:v>
      </x:c>
      <x:c r="F50" t="n">
        <x:v>3</x:v>
      </x:c>
      <x:c r="G50" t="str">
        <x:v>GCash</x:v>
      </x:c>
      <x:c r="H50" s="30" t="n">
        <x:v>500</x:v>
      </x:c>
      <x:c r="I50" s="30" t="n">
        <x:v>475</x:v>
      </x:c>
      <x:c r="J50" t="str">
        <x:v>Down Payment</x:v>
      </x:c>
      <x:c r="K50" t="str">
        <x:v>DP</x:v>
      </x:c>
      <x:c r="L50" t="str">
        <x:v>CONFIRMED</x:v>
      </x:c>
      <x:c r="M50" t="str">
        <x:v>PAPER_SOURCE</x:v>
      </x:c>
    </x:row>
    <x:row r="51">
      <x:c r="A51" t="str">
        <x:v>DSMR-2026-09-14-R12</x:v>
      </x:c>
      <x:c r="B51" t="str">
        <x:v>2026-09-14</x:v>
      </x:c>
      <x:c r="C51" t="n">
        <x:v>12</x:v>
      </x:c>
      <x:c r="D51" t="str">
        <x:v>NEW</x:v>
      </x:c>
      <x:c r="E51" t="str">
        <x:v>Christian Fontanilla</x:v>
      </x:c>
      <x:c r="F51" t="n">
        <x:v>2</x:v>
      </x:c>
      <x:c r="G51" t="str">
        <x:v>GCash</x:v>
      </x:c>
      <x:c r="H51" s="30" t="n">
        <x:v>325</x:v>
      </x:c>
      <x:c r="I51" s="30" t="n">
        <x:v>325</x:v>
      </x:c>
      <x:c r="J51" t="str">
        <x:v>Down Payment</x:v>
      </x:c>
      <x:c r="K51" t="str">
        <x:v>DP</x:v>
      </x:c>
      <x:c r="L51" t="str">
        <x:v>CONFIRMED</x:v>
      </x:c>
      <x:c r="M51" t="str">
        <x:v>PAPER_SOURCE</x:v>
      </x:c>
    </x:row>
    <x:row r="52">
      <x:c r="A52" t="str">
        <x:v>DSMR-2026-09-14-R13</x:v>
      </x:c>
      <x:c r="B52" t="str">
        <x:v>2026-09-14</x:v>
      </x:c>
      <x:c r="C52" t="n">
        <x:v>13</x:v>
      </x:c>
      <x:c r="D52" t="str">
        <x:v>NEW</x:v>
      </x:c>
      <x:c r="E52" t="str">
        <x:v>Cubelo</x:v>
      </x:c>
      <x:c r="F52" t="n">
        <x:v>1</x:v>
      </x:c>
      <x:c r="G52" t="str">
        <x:v>GCash</x:v>
      </x:c>
      <x:c r="H52" s="30" t="n">
        <x:v>475</x:v>
      </x:c>
      <x:c r="I52" s="30"/>
      <x:c r="J52" t="str">
        <x:v>Fully Paid</x:v>
      </x:c>
      <x:c r="K52" t="str">
        <x:v>Fully paid</x:v>
      </x:c>
      <x:c r="L52" t="str">
        <x:v>CONFIRMED</x:v>
      </x:c>
      <x:c r="M52" t="str">
        <x:v>PAPER_SOURCE</x:v>
      </x:c>
    </x:row>
    <x:row r="53">
      <x:c r="A53" t="str">
        <x:v>DSMR-2026-09-14-R14</x:v>
      </x:c>
      <x:c r="B53" t="str">
        <x:v>2026-09-14</x:v>
      </x:c>
      <x:c r="C53" t="n">
        <x:v>14</x:v>
      </x:c>
      <x:c r="D53" t="str">
        <x:v>NEW</x:v>
      </x:c>
      <x:c r="E53" t="str">
        <x:v>Karl Agnas</x:v>
      </x:c>
      <x:c r="F53" t="n">
        <x:v>1</x:v>
      </x:c>
      <x:c r="G53" t="str">
        <x:v>Cash</x:v>
      </x:c>
      <x:c r="H53" s="30" t="n">
        <x:v>325</x:v>
      </x:c>
      <x:c r="I53" s="30"/>
      <x:c r="J53" t="str">
        <x:v>Fully Paid</x:v>
      </x:c>
      <x:c r="K53" t="str">
        <x:v>Fully paid</x:v>
      </x:c>
      <x:c r="L53" t="str">
        <x:v>CONFIRMED</x:v>
      </x:c>
      <x:c r="M53" t="str">
        <x:v>PAPER_SOURCE</x:v>
      </x:c>
    </x:row>
    <x:row r="54">
      <x:c r="A54" t="str">
        <x:v>DSMR-2026-09-14-R15</x:v>
      </x:c>
      <x:c r="B54" t="str">
        <x:v>2026-09-14</x:v>
      </x:c>
      <x:c r="C54" t="n">
        <x:v>15</x:v>
      </x:c>
      <x:c r="D54" t="str">
        <x:v>NEW</x:v>
      </x:c>
      <x:c r="E54" t="str">
        <x:v>Chaukie</x:v>
      </x:c>
      <x:c r="F54" t="n">
        <x:v>2</x:v>
      </x:c>
      <x:c r="G54" t="str">
        <x:v>Cash</x:v>
      </x:c>
      <x:c r="H54" s="30" t="n">
        <x:v>1000</x:v>
      </x:c>
      <x:c r="I54" s="30" t="n">
        <x:v>150</x:v>
      </x:c>
      <x:c r="J54" t="str">
        <x:v>Down Payment</x:v>
      </x:c>
      <x:c r="K54" t="str">
        <x:v>DP</x:v>
      </x:c>
      <x:c r="L54" t="str">
        <x:v>CONFIRMED</x:v>
      </x:c>
      <x:c r="M54" t="str">
        <x:v>PAPER_SOURCE</x:v>
      </x:c>
    </x:row>
    <x:row r="55">
      <x:c r="A55" t="str">
        <x:v>DSMR-2026-09-14-R16</x:v>
      </x:c>
      <x:c r="B55" t="str">
        <x:v>2026-09-14</x:v>
      </x:c>
      <x:c r="C55" t="n">
        <x:v>16</x:v>
      </x:c>
      <x:c r="D55" t="str">
        <x:v>NEW</x:v>
      </x:c>
      <x:c r="E55" t="str">
        <x:v>Nyx Pantoja</x:v>
      </x:c>
      <x:c r="F55" t="n">
        <x:v>3</x:v>
      </x:c>
      <x:c r="G55" t="str">
        <x:v>Not Yet Paid</x:v>
      </x:c>
      <x:c r="H55" s="30"/>
      <x:c r="I55" s="30" t="n">
        <x:v>1225</x:v>
      </x:c>
      <x:c r="J55" t="str">
        <x:v>Not Yet Paid</x:v>
      </x:c>
      <x:c r="K55" t="str">
        <x:v>Not Yet Paid</x:v>
      </x:c>
      <x:c r="L55" t="str">
        <x:v>CONFIRMED</x:v>
      </x:c>
      <x:c r="M55" t="str">
        <x:v>PAPER_SOURCE</x:v>
      </x:c>
    </x:row>
    <x:row r="56">
      <x:c r="A56" t="str">
        <x:v>DSMR-2026-09-14-R17</x:v>
      </x:c>
      <x:c r="B56" t="str">
        <x:v>2026-09-14</x:v>
      </x:c>
      <x:c r="C56" t="n">
        <x:v>17</x:v>
      </x:c>
      <x:c r="D56" t="str">
        <x:v>NEW</x:v>
      </x:c>
      <x:c r="E56" t="str">
        <x:v>Kenneth Gutierrez</x:v>
      </x:c>
      <x:c r="F56" t="n">
        <x:v>6</x:v>
      </x:c>
      <x:c r="G56" t="str">
        <x:v>Not Yet Paid</x:v>
      </x:c>
      <x:c r="H56" s="30"/>
      <x:c r="I56" s="30" t="n">
        <x:v>2900</x:v>
      </x:c>
      <x:c r="J56" t="str">
        <x:v>Not Yet Paid</x:v>
      </x:c>
      <x:c r="K56" t="str">
        <x:v>Not Yet Paid</x:v>
      </x:c>
      <x:c r="L56" t="str">
        <x:v>CONFIRMED</x:v>
      </x:c>
      <x:c r="M56" t="str">
        <x:v>PAPER_SOURCE</x:v>
      </x:c>
    </x:row>
    <x:row r="57">
      <x:c r="A57" t="str">
        <x:v>DSMR-2026-09-15-R01</x:v>
      </x:c>
      <x:c r="B57" t="str">
        <x:v>2026-09-15</x:v>
      </x:c>
      <x:c r="C57" t="n">
        <x:v>1</x:v>
      </x:c>
      <x:c r="D57" t="str">
        <x:v>CLAIM</x:v>
      </x:c>
      <x:c r="E57" t="str">
        <x:v>Paul</x:v>
      </x:c>
      <x:c r="F57" t="n">
        <x:v>4</x:v>
      </x:c>
      <x:c r="G57" t="str">
        <x:v>GCash</x:v>
      </x:c>
      <x:c r="H57" s="30" t="n">
        <x:v>900</x:v>
      </x:c>
      <x:c r="I57" s="30"/>
      <x:c r="J57" t="str">
        <x:v>Claim Payment</x:v>
      </x:c>
      <x:c r="K57" t="str">
        <x:v>Fully paid</x:v>
      </x:c>
      <x:c r="L57" t="str">
        <x:v>CONFIRMED</x:v>
      </x:c>
      <x:c r="M57" t="str">
        <x:v>PAPER_SOURCE</x:v>
      </x:c>
    </x:row>
    <x:row r="58">
      <x:c r="A58" t="str">
        <x:v>DSMR-2026-09-15-R02</x:v>
      </x:c>
      <x:c r="B58" t="str">
        <x:v>2026-09-15</x:v>
      </x:c>
      <x:c r="C58" t="n">
        <x:v>2</x:v>
      </x:c>
      <x:c r="D58" t="str">
        <x:v>CLAIM</x:v>
      </x:c>
      <x:c r="E58" t="str">
        <x:v>Julius</x:v>
      </x:c>
      <x:c r="F58" t="n">
        <x:v>2</x:v>
      </x:c>
      <x:c r="G58" t="str">
        <x:v>Cash</x:v>
      </x:c>
      <x:c r="H58" s="30" t="n">
        <x:v>375</x:v>
      </x:c>
      <x:c r="I58" s="30"/>
      <x:c r="J58" t="str">
        <x:v>Claim Payment</x:v>
      </x:c>
      <x:c r="K58" t="str">
        <x:v>Fully paid</x:v>
      </x:c>
      <x:c r="L58" t="str">
        <x:v>CONFIRMED</x:v>
      </x:c>
      <x:c r="M58" t="str">
        <x:v>PAPER_SOURCE</x:v>
      </x:c>
    </x:row>
    <x:row r="59">
      <x:c r="A59" t="str">
        <x:v>DSMR-2026-09-15-R03</x:v>
      </x:c>
      <x:c r="B59" t="str">
        <x:v>2026-09-15</x:v>
      </x:c>
      <x:c r="C59" t="n">
        <x:v>3</x:v>
      </x:c>
      <x:c r="D59" t="str">
        <x:v>CLAIM</x:v>
      </x:c>
      <x:c r="E59" t="str">
        <x:v>Warden</x:v>
      </x:c>
      <x:c r="F59" t="n">
        <x:v>1</x:v>
      </x:c>
      <x:c r="G59" t="str">
        <x:v>Cash</x:v>
      </x:c>
      <x:c r="H59" s="30" t="n">
        <x:v>250</x:v>
      </x:c>
      <x:c r="I59" s="30"/>
      <x:c r="J59" t="str">
        <x:v>Claim Payment</x:v>
      </x:c>
      <x:c r="K59" t="str">
        <x:v>Fully paid</x:v>
      </x:c>
      <x:c r="L59" t="str">
        <x:v>CONFIRMED</x:v>
      </x:c>
      <x:c r="M59" t="str">
        <x:v>PAPER_SOURCE</x:v>
      </x:c>
    </x:row>
    <x:row r="60">
      <x:c r="A60" t="str">
        <x:v>DSMR-2026-09-15-R04</x:v>
      </x:c>
      <x:c r="B60" t="str">
        <x:v>2026-09-15</x:v>
      </x:c>
      <x:c r="C60" t="n">
        <x:v>4</x:v>
      </x:c>
      <x:c r="D60" t="str">
        <x:v>CLAIM</x:v>
      </x:c>
      <x:c r="E60" t="str">
        <x:v>Anthea</x:v>
      </x:c>
      <x:c r="F60" t="n">
        <x:v>1</x:v>
      </x:c>
      <x:c r="G60" t="str">
        <x:v>GCash</x:v>
      </x:c>
      <x:c r="H60" s="30" t="n">
        <x:v>400</x:v>
      </x:c>
      <x:c r="I60" s="30"/>
      <x:c r="J60" t="str">
        <x:v>Claim Payment</x:v>
      </x:c>
      <x:c r="K60" t="str">
        <x:v>Fully paid</x:v>
      </x:c>
      <x:c r="L60" t="str">
        <x:v>CONFIRMED</x:v>
      </x:c>
      <x:c r="M60" t="str">
        <x:v>PAPER_SOURCE</x:v>
      </x:c>
    </x:row>
    <x:row r="61">
      <x:c r="A61" t="str">
        <x:v>DSMR-2026-09-15-R05</x:v>
      </x:c>
      <x:c r="B61" t="str">
        <x:v>2026-09-15</x:v>
      </x:c>
      <x:c r="C61" t="n">
        <x:v>5</x:v>
      </x:c>
      <x:c r="D61" t="str">
        <x:v>NEW</x:v>
      </x:c>
      <x:c r="E61" t="str">
        <x:v>Juan</x:v>
      </x:c>
      <x:c r="F61" t="n">
        <x:v>2</x:v>
      </x:c>
      <x:c r="G61" t="str">
        <x:v>Cash</x:v>
      </x:c>
      <x:c r="H61" s="30" t="n">
        <x:v>1400</x:v>
      </x:c>
      <x:c r="I61" s="30"/>
      <x:c r="J61" t="str">
        <x:v>Fully Paid</x:v>
      </x:c>
      <x:c r="K61" t="str">
        <x:v>Rush services; paper form supports ₱1,400 total</x:v>
      </x:c>
      <x:c r="L61" t="str">
        <x:v>MANUAL REVIEW</x:v>
      </x:c>
      <x:c r="M61" t="str">
        <x:v>PAPER_SOURCE</x:v>
      </x:c>
    </x:row>
    <x:row r="62">
      <x:c r="A62" t="str">
        <x:v>DSMR-2026-09-15-R06</x:v>
      </x:c>
      <x:c r="B62" t="str">
        <x:v>2026-09-15</x:v>
      </x:c>
      <x:c r="C62" t="n">
        <x:v>6</x:v>
      </x:c>
      <x:c r="D62" t="str">
        <x:v>NEW</x:v>
      </x:c>
      <x:c r="E62" t="str">
        <x:v>Antonio Lagunada</x:v>
      </x:c>
      <x:c r="F62" t="n">
        <x:v>1</x:v>
      </x:c>
      <x:c r="G62" t="str">
        <x:v>Cash</x:v>
      </x:c>
      <x:c r="H62" s="30" t="n">
        <x:v>475</x:v>
      </x:c>
      <x:c r="I62" s="30"/>
      <x:c r="J62" t="str">
        <x:v>Fully Paid</x:v>
      </x:c>
      <x:c r="K62" t="str">
        <x:v>BC rush</x:v>
      </x:c>
      <x:c r="L62" t="str">
        <x:v>CONFIRMED</x:v>
      </x:c>
      <x:c r="M62" t="str">
        <x:v>PAPER_SOURCE</x:v>
      </x:c>
    </x:row>
    <x:row r="63">
      <x:c r="A63" t="str">
        <x:v>DSMR-2026-09-15-R07</x:v>
      </x:c>
      <x:c r="B63" t="str">
        <x:v>2026-09-15</x:v>
      </x:c>
      <x:c r="C63" t="n">
        <x:v>7</x:v>
      </x:c>
      <x:c r="D63" t="str">
        <x:v>NEW</x:v>
      </x:c>
      <x:c r="E63" t="str">
        <x:v>Cico B. Conde</x:v>
      </x:c>
      <x:c r="F63" t="n">
        <x:v>1</x:v>
      </x:c>
      <x:c r="G63" t="str">
        <x:v>Cash</x:v>
      </x:c>
      <x:c r="H63" s="30" t="n">
        <x:v>100</x:v>
      </x:c>
      <x:c r="I63" s="30" t="n">
        <x:v>225</x:v>
      </x:c>
      <x:c r="J63" t="str">
        <x:v>Down Payment</x:v>
      </x:c>
      <x:c r="K63" t="str">
        <x:v>DP</x:v>
      </x:c>
      <x:c r="L63" t="str">
        <x:v>MANUAL REVIEW</x:v>
      </x:c>
      <x:c r="M63" t="str">
        <x:v>PAPER_SOURCE</x:v>
      </x:c>
    </x:row>
    <x:row r="64">
      <x:c r="A64" t="str">
        <x:v>DSMR-2026-09-08-R01</x:v>
      </x:c>
      <x:c r="B64" t="str">
        <x:v>2026-09-08</x:v>
      </x:c>
      <x:c r="C64" t="n">
        <x:v>1</x:v>
      </x:c>
      <x:c r="D64" t="str">
        <x:v>CLAIM</x:v>
      </x:c>
      <x:c r="E64" t="str">
        <x:v>Jerome</x:v>
      </x:c>
      <x:c r="F64" t="n">
        <x:v>1</x:v>
      </x:c>
      <x:c r="G64" t="str">
        <x:v>GCash</x:v>
      </x:c>
      <x:c r="H64" s="30" t="n">
        <x:v>275</x:v>
      </x:c>
      <x:c r="I64" s="30"/>
      <x:c r="J64" t="str">
        <x:v>Claim Payment</x:v>
      </x:c>
      <x:c r="K64" t="str">
        <x:v>Fully paid</x:v>
      </x:c>
      <x:c r="L64" t="str">
        <x:v>CONFIRMED</x:v>
      </x:c>
      <x:c r="M64" t="str">
        <x:v>PAPER_SOURCE</x:v>
      </x:c>
    </x:row>
    <x:row r="65">
      <x:c r="A65" t="str">
        <x:v>DSMR-2026-09-08-R02</x:v>
      </x:c>
      <x:c r="B65" t="str">
        <x:v>2026-09-08</x:v>
      </x:c>
      <x:c r="C65" t="n">
        <x:v>2</x:v>
      </x:c>
      <x:c r="D65" t="str">
        <x:v>NEW</x:v>
      </x:c>
      <x:c r="E65" t="str">
        <x:v>Derick Pucero [best read]</x:v>
      </x:c>
      <x:c r="F65" t="n">
        <x:v>1</x:v>
      </x:c>
      <x:c r="G65" t="str">
        <x:v>Cash</x:v>
      </x:c>
      <x:c r="H65" s="30" t="n">
        <x:v>200</x:v>
      </x:c>
      <x:c r="I65" s="30" t="n">
        <x:v>500</x:v>
      </x:c>
      <x:c r="J65" t="str">
        <x:v>Down Payment</x:v>
      </x:c>
      <x:c r="K65" t="str">
        <x:v>DP</x:v>
      </x:c>
      <x:c r="L65" t="str">
        <x:v>MANUAL REVIEW</x:v>
      </x:c>
      <x:c r="M65" t="str">
        <x:v>PAPER_SOURCE</x:v>
      </x:c>
    </x:row>
    <x:row r="66">
      <x:c r="A66" t="str">
        <x:v>DSMR-2026-09-08-R03</x:v>
      </x:c>
      <x:c r="B66" t="str">
        <x:v>2026-09-08</x:v>
      </x:c>
      <x:c r="C66" t="n">
        <x:v>3</x:v>
      </x:c>
      <x:c r="D66" t="str">
        <x:v>NEW</x:v>
      </x:c>
      <x:c r="E66" t="str">
        <x:v>Irene de Leon [best read]</x:v>
      </x:c>
      <x:c r="F66" t="n">
        <x:v>1</x:v>
      </x:c>
      <x:c r="G66" t="str">
        <x:v>GCash</x:v>
      </x:c>
      <x:c r="H66" s="30" t="n">
        <x:v>575</x:v>
      </x:c>
      <x:c r="I66" s="30"/>
      <x:c r="J66" t="str">
        <x:v>Fully Paid</x:v>
      </x:c>
      <x:c r="K66" t="str">
        <x:v>Fully paid</x:v>
      </x:c>
      <x:c r="L66" t="str">
        <x:v>MANUAL REVIEW</x:v>
      </x:c>
      <x:c r="M66" t="str">
        <x:v>PAPER_SOURCE</x:v>
      </x:c>
    </x:row>
    <x:row r="67">
      <x:c r="A67" t="str">
        <x:v>DSMR-2026-09-08-R04</x:v>
      </x:c>
      <x:c r="B67" t="str">
        <x:v>2026-09-08</x:v>
      </x:c>
      <x:c r="C67" t="n">
        <x:v>4</x:v>
      </x:c>
      <x:c r="D67" t="str">
        <x:v>NEW</x:v>
      </x:c>
      <x:c r="E67" t="str">
        <x:v>Edzel de Mesa</x:v>
      </x:c>
      <x:c r="F67" t="n">
        <x:v>2</x:v>
      </x:c>
      <x:c r="G67" t="str">
        <x:v>Cash</x:v>
      </x:c>
      <x:c r="H67" s="30" t="n">
        <x:v>1000</x:v>
      </x:c>
      <x:c r="I67" s="30" t="n">
        <x:v>525</x:v>
      </x:c>
      <x:c r="J67" t="str">
        <x:v>Down Payment</x:v>
      </x:c>
      <x:c r="K67" t="str">
        <x:v>DP</x:v>
      </x:c>
      <x:c r="L67" t="str">
        <x:v>CONFIRMED</x:v>
      </x:c>
      <x:c r="M67" t="str">
        <x:v>PAPER_SOURCE</x:v>
      </x:c>
    </x:row>
    <x:row r="68">
      <x:c r="A68" t="str">
        <x:v>DSMR-2026-09-08-R05</x:v>
      </x:c>
      <x:c r="B68" t="str">
        <x:v>2026-09-08</x:v>
      </x:c>
      <x:c r="C68" t="n">
        <x:v>5</x:v>
      </x:c>
      <x:c r="D68" t="str">
        <x:v>NEW</x:v>
      </x:c>
      <x:c r="E68" t="str">
        <x:v>Danzel Cabaron [best read]</x:v>
      </x:c>
      <x:c r="F68" t="n">
        <x:v>2</x:v>
      </x:c>
      <x:c r="G68" t="str">
        <x:v>GCash</x:v>
      </x:c>
      <x:c r="H68" s="30" t="n">
        <x:v>1250</x:v>
      </x:c>
      <x:c r="I68" s="30"/>
      <x:c r="J68" t="str">
        <x:v>Fully Paid</x:v>
      </x:c>
      <x:c r="K68" t="str">
        <x:v>Fully paid</x:v>
      </x:c>
      <x:c r="L68" t="str">
        <x:v>MANUAL REVIEW</x:v>
      </x:c>
      <x:c r="M68" t="str">
        <x:v>PAPER_SOURCE</x:v>
      </x:c>
    </x:row>
    <x:row r="69">
      <x:c r="A69" t="str">
        <x:v>DSMR-2026-09-08-R06</x:v>
      </x:c>
      <x:c r="B69" t="str">
        <x:v>2026-09-08</x:v>
      </x:c>
      <x:c r="C69" t="n">
        <x:v>6</x:v>
      </x:c>
      <x:c r="D69" t="str">
        <x:v>NEW</x:v>
      </x:c>
      <x:c r="E69" t="str">
        <x:v>Johmar Tacacray</x:v>
      </x:c>
      <x:c r="F69" t="n">
        <x:v>1</x:v>
      </x:c>
      <x:c r="G69" t="str">
        <x:v>Cash</x:v>
      </x:c>
      <x:c r="H69" s="30" t="n">
        <x:v>725</x:v>
      </x:c>
      <x:c r="I69" s="30"/>
      <x:c r="J69" t="str">
        <x:v>Fully Paid</x:v>
      </x:c>
      <x:c r="K69" t="str">
        <x:v>Fully paid</x:v>
      </x:c>
      <x:c r="L69" t="str">
        <x:v>CONFIRMED</x:v>
      </x:c>
      <x:c r="M69" t="str">
        <x:v>PAPER_SOURCE</x:v>
      </x:c>
    </x:row>
    <x:row r="70">
      <x:c r="A70" t="str">
        <x:v>DSMR-2026-09-08-R07</x:v>
      </x:c>
      <x:c r="B70" t="str">
        <x:v>2026-09-08</x:v>
      </x:c>
      <x:c r="C70" t="n">
        <x:v>7</x:v>
      </x:c>
      <x:c r="D70" t="str">
        <x:v>NEW</x:v>
      </x:c>
      <x:c r="E70" t="str">
        <x:v>Marvin</x:v>
      </x:c>
      <x:c r="F70" t="n">
        <x:v>1</x:v>
      </x:c>
      <x:c r="G70" t="str">
        <x:v>GCash</x:v>
      </x:c>
      <x:c r="H70" s="30" t="n">
        <x:v>725</x:v>
      </x:c>
      <x:c r="I70" s="30"/>
      <x:c r="J70" t="str">
        <x:v>Fully Paid</x:v>
      </x:c>
      <x:c r="K70" t="str">
        <x:v>Fully paid</x:v>
      </x:c>
      <x:c r="L70" t="str">
        <x:v>CONFIRMED</x:v>
      </x:c>
      <x:c r="M70" t="str">
        <x:v>PAPER_SOURCE</x:v>
      </x:c>
    </x:row>
    <x:row r="71">
      <x:c r="A71" t="str">
        <x:v>DSMR-2026-09-08-R08</x:v>
      </x:c>
      <x:c r="B71" t="str">
        <x:v>2026-09-08</x:v>
      </x:c>
      <x:c r="C71" t="n">
        <x:v>8</x:v>
      </x:c>
      <x:c r="D71" t="str">
        <x:v>NEW</x:v>
      </x:c>
      <x:c r="E71" t="str">
        <x:v>Oliver [surname unclear]</x:v>
      </x:c>
      <x:c r="F71" t="n">
        <x:v>1</x:v>
      </x:c>
      <x:c r="G71" t="str">
        <x:v>Cash</x:v>
      </x:c>
      <x:c r="H71" s="30" t="n">
        <x:v>575</x:v>
      </x:c>
      <x:c r="I71" s="30"/>
      <x:c r="J71" t="str">
        <x:v>Fully Paid</x:v>
      </x:c>
      <x:c r="K71" t="str">
        <x:v>Fully paid</x:v>
      </x:c>
      <x:c r="L71" t="str">
        <x:v>MANUAL REVIEW</x:v>
      </x:c>
      <x:c r="M71" t="str">
        <x:v>PAPER_SOURCE</x:v>
      </x:c>
    </x:row>
    <x:row r="72">
      <x:c r="A72" t="str">
        <x:v>DSMR-2026-09-08-R09</x:v>
      </x:c>
      <x:c r="B72" t="str">
        <x:v>2026-09-08</x:v>
      </x:c>
      <x:c r="C72" t="n">
        <x:v>9</x:v>
      </x:c>
      <x:c r="D72" t="str">
        <x:v>NEW</x:v>
      </x:c>
      <x:c r="E72" t="str">
        <x:v>Christian T. [best read]</x:v>
      </x:c>
      <x:c r="F72" t="n">
        <x:v>1</x:v>
      </x:c>
      <x:c r="G72" t="str">
        <x:v>Cash</x:v>
      </x:c>
      <x:c r="H72" s="30" t="n">
        <x:v>475</x:v>
      </x:c>
      <x:c r="I72" s="30"/>
      <x:c r="J72" t="str">
        <x:v>Fully Paid</x:v>
      </x:c>
      <x:c r="K72" t="str">
        <x:v>Fully paid</x:v>
      </x:c>
      <x:c r="L72" t="str">
        <x:v>MANUAL REVIEW</x:v>
      </x:c>
      <x:c r="M72" t="str">
        <x:v>PAPER_SOURCE</x:v>
      </x:c>
    </x:row>
    <x:row r="73">
      <x:c r="A73" t="str">
        <x:v>DSMR-2026-09-08-R10</x:v>
      </x:c>
      <x:c r="B73" t="str">
        <x:v>2026-09-08</x:v>
      </x:c>
      <x:c r="C73" t="n">
        <x:v>10</x:v>
      </x:c>
      <x:c r="D73" t="str">
        <x:v>NEW</x:v>
      </x:c>
      <x:c r="E73" t="str">
        <x:v>MJ Sumaridos [best read]</x:v>
      </x:c>
      <x:c r="F73" t="n">
        <x:v>1</x:v>
      </x:c>
      <x:c r="G73" t="str">
        <x:v>Not Yet Paid</x:v>
      </x:c>
      <x:c r="H73" s="30"/>
      <x:c r="I73" s="30" t="n">
        <x:v>325</x:v>
      </x:c>
      <x:c r="J73" t="str">
        <x:v>Not Yet Paid</x:v>
      </x:c>
      <x:c r="K73" t="str">
        <x:v>Not yet</x:v>
      </x:c>
      <x:c r="L73" t="str">
        <x:v>MANUAL REVIEW</x:v>
      </x:c>
      <x:c r="M73" t="str">
        <x:v>PAPER_SOURCE</x:v>
      </x:c>
    </x:row>
    <x:row r="74">
      <x:c r="A74" t="str">
        <x:v>DSMR-2026-09-07-R01</x:v>
      </x:c>
      <x:c r="B74" t="str">
        <x:v>2026-09-07</x:v>
      </x:c>
      <x:c r="C74" t="n">
        <x:v>1</x:v>
      </x:c>
      <x:c r="D74" t="str">
        <x:v>CLAIM</x:v>
      </x:c>
      <x:c r="E74" t="str">
        <x:v>Verna [best read]</x:v>
      </x:c>
      <x:c r="F74" t="n">
        <x:v>1</x:v>
      </x:c>
      <x:c r="G74" t="str">
        <x:v>Cash</x:v>
      </x:c>
      <x:c r="H74" s="30" t="n">
        <x:v>400</x:v>
      </x:c>
      <x:c r="I74" s="30"/>
      <x:c r="J74" t="str">
        <x:v>Claim Payment</x:v>
      </x:c>
      <x:c r="K74" t="str">
        <x:v>Fully paid</x:v>
      </x:c>
      <x:c r="L74" t="str">
        <x:v>MANUAL REVIEW</x:v>
      </x:c>
      <x:c r="M74" t="str">
        <x:v>PAPER_SOURCE</x:v>
      </x:c>
    </x:row>
    <x:row r="75">
      <x:c r="A75" t="str">
        <x:v>DSMR-2026-09-07-R02</x:v>
      </x:c>
      <x:c r="B75" t="str">
        <x:v>2026-09-07</x:v>
      </x:c>
      <x:c r="C75" t="n">
        <x:v>2</x:v>
      </x:c>
      <x:c r="D75" t="str">
        <x:v>CLAIM</x:v>
      </x:c>
      <x:c r="E75" t="str">
        <x:v>Jomar Padua [best read]</x:v>
      </x:c>
      <x:c r="F75" t="n">
        <x:v>8</x:v>
      </x:c>
      <x:c r="G75" t="str">
        <x:v>GCash</x:v>
      </x:c>
      <x:c r="H75" s="30" t="n">
        <x:v>1555</x:v>
      </x:c>
      <x:c r="I75" s="30"/>
      <x:c r="J75" t="str">
        <x:v>Claim Payment</x:v>
      </x:c>
      <x:c r="K75" t="str">
        <x:v>Fully paid</x:v>
      </x:c>
      <x:c r="L75" t="str">
        <x:v>MANUAL REVIEW</x:v>
      </x:c>
      <x:c r="M75" t="str">
        <x:v>PAPER_SOURCE</x:v>
      </x:c>
    </x:row>
    <x:row r="76">
      <x:c r="A76" t="str">
        <x:v>DSMR-2026-09-07-R03</x:v>
      </x:c>
      <x:c r="B76" t="str">
        <x:v>2026-09-07</x:v>
      </x:c>
      <x:c r="C76" t="n">
        <x:v>3</x:v>
      </x:c>
      <x:c r="D76" t="str">
        <x:v>NEW</x:v>
      </x:c>
      <x:c r="E76" t="str">
        <x:v>Ben Chavez [best read]</x:v>
      </x:c>
      <x:c r="F76" t="n">
        <x:v>1</x:v>
      </x:c>
      <x:c r="G76" t="str">
        <x:v>Cash</x:v>
      </x:c>
      <x:c r="H76" s="30" t="n">
        <x:v>2000</x:v>
      </x:c>
      <x:c r="I76" s="30" t="n">
        <x:v>100</x:v>
      </x:c>
      <x:c r="J76" t="str">
        <x:v>Down Payment</x:v>
      </x:c>
      <x:c r="K76" t="str">
        <x:v>DP</x:v>
      </x:c>
      <x:c r="L76" t="str">
        <x:v>MANUAL REVIEW</x:v>
      </x:c>
      <x:c r="M76" t="str">
        <x:v>PAPER_SOURCE</x:v>
      </x:c>
    </x:row>
    <x:row r="77">
      <x:c r="A77" t="str">
        <x:v>DSMR-2026-09-07-R04</x:v>
      </x:c>
      <x:c r="B77" t="str">
        <x:v>2026-09-07</x:v>
      </x:c>
      <x:c r="C77" t="n">
        <x:v>4</x:v>
      </x:c>
      <x:c r="D77" t="str">
        <x:v>NEW</x:v>
      </x:c>
      <x:c r="E77" t="str">
        <x:v>Aristotle Gomez [best read]</x:v>
      </x:c>
      <x:c r="F77" t="n">
        <x:v>3</x:v>
      </x:c>
      <x:c r="G77" t="str">
        <x:v>GCash</x:v>
      </x:c>
      <x:c r="H77" s="30" t="n">
        <x:v>825</x:v>
      </x:c>
      <x:c r="I77" s="30" t="n">
        <x:v>825</x:v>
      </x:c>
      <x:c r="J77" t="str">
        <x:v>Down Payment</x:v>
      </x:c>
      <x:c r="K77" t="str">
        <x:v>DP</x:v>
      </x:c>
      <x:c r="L77" t="str">
        <x:v>MANUAL REVIEW</x:v>
      </x:c>
      <x:c r="M77" t="str">
        <x:v>PAPER_SOURCE</x:v>
      </x:c>
    </x:row>
    <x:row r="78">
      <x:c r="A78" t="str">
        <x:v>DSMR-2026-09-07-R05</x:v>
      </x:c>
      <x:c r="B78" t="str">
        <x:v>2026-09-07</x:v>
      </x:c>
      <x:c r="C78" t="n">
        <x:v>5</x:v>
      </x:c>
      <x:c r="D78" t="str">
        <x:v>NEW</x:v>
      </x:c>
      <x:c r="E78" t="str">
        <x:v>Kirk Guvia [best read]</x:v>
      </x:c>
      <x:c r="F78" t="n">
        <x:v>1</x:v>
      </x:c>
      <x:c r="G78" t="str">
        <x:v>Cash</x:v>
      </x:c>
      <x:c r="H78" s="30" t="n">
        <x:v>550</x:v>
      </x:c>
      <x:c r="I78" s="30"/>
      <x:c r="J78" t="str">
        <x:v>Fully Paid</x:v>
      </x:c>
      <x:c r="K78" t="str">
        <x:v>Fully paid</x:v>
      </x:c>
      <x:c r="L78" t="str">
        <x:v>MANUAL REVIEW</x:v>
      </x:c>
      <x:c r="M78" t="str">
        <x:v>PAPER_SOURCE</x:v>
      </x:c>
    </x:row>
    <x:row r="79">
      <x:c r="A79" t="str">
        <x:v>DSMR-2026-09-07-R06</x:v>
      </x:c>
      <x:c r="B79" t="str">
        <x:v>2026-09-07</x:v>
      </x:c>
      <x:c r="C79" t="n">
        <x:v>6</x:v>
      </x:c>
      <x:c r="D79" t="str">
        <x:v>NEW</x:v>
      </x:c>
      <x:c r="E79" t="str">
        <x:v>Cont [unclear]</x:v>
      </x:c>
      <x:c r="F79" t="n">
        <x:v>1</x:v>
      </x:c>
      <x:c r="G79" t="str">
        <x:v>GCash</x:v>
      </x:c>
      <x:c r="H79" s="30" t="n">
        <x:v>325</x:v>
      </x:c>
      <x:c r="I79" s="30"/>
      <x:c r="J79" t="str">
        <x:v>Fully Paid</x:v>
      </x:c>
      <x:c r="K79" t="str">
        <x:v>Fully paid</x:v>
      </x:c>
      <x:c r="L79" t="str">
        <x:v>UNCLEAR</x:v>
      </x:c>
      <x:c r="M79" t="str">
        <x:v>PAPER_SOURCE</x:v>
      </x:c>
    </x:row>
    <x:row r="80">
      <x:c r="A80" t="str">
        <x:v>DSMR-2026-09-07-R07</x:v>
      </x:c>
      <x:c r="B80" t="str">
        <x:v>2026-09-07</x:v>
      </x:c>
      <x:c r="C80" t="n">
        <x:v>7</x:v>
      </x:c>
      <x:c r="D80" t="str">
        <x:v>NEW</x:v>
      </x:c>
      <x:c r="E80" t="str">
        <x:v>Jeulia Hatty [best read]</x:v>
      </x:c>
      <x:c r="F80" t="n">
        <x:v>1</x:v>
      </x:c>
      <x:c r="G80" t="str">
        <x:v>Cash</x:v>
      </x:c>
      <x:c r="H80" s="30" t="n">
        <x:v>275</x:v>
      </x:c>
      <x:c r="I80" s="30" t="n">
        <x:v>275</x:v>
      </x:c>
      <x:c r="J80" t="str">
        <x:v>Down Payment</x:v>
      </x:c>
      <x:c r="K80" t="str">
        <x:v>DP</x:v>
      </x:c>
      <x:c r="L80" t="str">
        <x:v>MANUAL REVIEW</x:v>
      </x:c>
      <x:c r="M80" t="str">
        <x:v>PAPER_SOURCE</x:v>
      </x:c>
    </x:row>
    <x:row r="81">
      <x:c r="A81" t="str">
        <x:v>DSMR-2026-09-07-R08</x:v>
      </x:c>
      <x:c r="B81" t="str">
        <x:v>2026-09-07</x:v>
      </x:c>
      <x:c r="C81" t="n">
        <x:v>8</x:v>
      </x:c>
      <x:c r="D81" t="str">
        <x:v>NEW</x:v>
      </x:c>
      <x:c r="E81" t="str">
        <x:v>Zaira Elida [best read]</x:v>
      </x:c>
      <x:c r="F81" t="n">
        <x:v>3</x:v>
      </x:c>
      <x:c r="G81" t="str">
        <x:v>GCash</x:v>
      </x:c>
      <x:c r="H81" s="30" t="n">
        <x:v>550</x:v>
      </x:c>
      <x:c r="I81" s="30" t="n">
        <x:v>650</x:v>
      </x:c>
      <x:c r="J81" t="str">
        <x:v>Down Payment</x:v>
      </x:c>
      <x:c r="K81" t="str">
        <x:v>DP</x:v>
      </x:c>
      <x:c r="L81" t="str">
        <x:v>MANUAL REVIEW</x:v>
      </x:c>
      <x:c r="M81" t="str">
        <x:v>PAPER_SOURCE</x:v>
      </x:c>
    </x:row>
    <x:row r="82">
      <x:c r="A82" t="str">
        <x:v>DSMR-2026-09-07-R09</x:v>
      </x:c>
      <x:c r="B82" t="str">
        <x:v>2026-09-07</x:v>
      </x:c>
      <x:c r="C82" t="n">
        <x:v>9</x:v>
      </x:c>
      <x:c r="D82" t="str">
        <x:v>NEW</x:v>
      </x:c>
      <x:c r="E82" t="str">
        <x:v>J. Eduvere [best read]</x:v>
      </x:c>
      <x:c r="F82" t="n">
        <x:v>1</x:v>
      </x:c>
      <x:c r="G82" t="str">
        <x:v>GCash</x:v>
      </x:c>
      <x:c r="H82" s="30" t="n">
        <x:v>200</x:v>
      </x:c>
      <x:c r="I82" s="30" t="n">
        <x:v>275</x:v>
      </x:c>
      <x:c r="J82" t="str">
        <x:v>Down Payment</x:v>
      </x:c>
      <x:c r="K82" t="str">
        <x:v>DP</x:v>
      </x:c>
      <x:c r="L82" t="str">
        <x:v>MANUAL REVIEW</x:v>
      </x:c>
      <x:c r="M82" t="str">
        <x:v>PAPER_SOURCE</x:v>
      </x:c>
    </x:row>
    <x:row r="83">
      <x:c r="A83" t="str">
        <x:v>DSMR-2026-09-07-R10</x:v>
      </x:c>
      <x:c r="B83" t="str">
        <x:v>2026-09-07</x:v>
      </x:c>
      <x:c r="C83" t="n">
        <x:v>10</x:v>
      </x:c>
      <x:c r="D83" t="str">
        <x:v>NEW</x:v>
      </x:c>
      <x:c r="E83" t="str">
        <x:v>Mark Ferrer</x:v>
      </x:c>
      <x:c r="F83" t="n">
        <x:v>1</x:v>
      </x:c>
      <x:c r="G83" t="str">
        <x:v>GCash</x:v>
      </x:c>
      <x:c r="H83" s="30" t="n">
        <x:v>325</x:v>
      </x:c>
      <x:c r="I83" s="30"/>
      <x:c r="J83" t="str">
        <x:v>Fully Paid</x:v>
      </x:c>
      <x:c r="K83" t="str">
        <x:v>Fully paid</x:v>
      </x:c>
      <x:c r="L83" t="str">
        <x:v>CONFIRMED</x:v>
      </x:c>
      <x:c r="M83" t="str">
        <x:v>PAPER_SOURCE</x:v>
      </x:c>
    </x:row>
  </x:sheetData>
  <x:pageMargins left="0.7" right="0.7" top="0.75" bottom="0.75" header="0.3" footer="0.3"/>
  <x:tableParts count="1">
    <x:tablePart xmlns:r="http://schemas.openxmlformats.org/officeDocument/2006/relationships" r:id="Re1a93fa8a33a4e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26" hidden="0" customWidth="1"/>
    <x:col min="4" max="4" width="18" hidden="0" customWidth="1"/>
    <x:col min="5" max="5" width="7" hidden="0" customWidth="1"/>
    <x:col min="6" max="6" width="13" hidden="0" customWidth="1"/>
    <x:col min="7" max="7" width="15" hidden="0" customWidth="1"/>
    <x:col min="8" max="8" width="13" hidden="0" customWidth="1"/>
    <x:col min="9" max="9" width="13" hidden="0" customWidth="1"/>
    <x:col min="10" max="10" width="16" hidden="0" customWidth="1"/>
    <x:col min="11" max="11" width="28" hidden="0" customWidth="1"/>
    <x:col min="12" max="12" width="12" hidden="0" customWidth="1"/>
    <x:col min="13" max="13" width="12" hidden="0" customWidth="1"/>
    <x:col min="14" max="14" width="24" hidden="0" customWidth="1"/>
    <x:col min="15" max="15" width="16" hidden="0" customWidth="1"/>
    <x:col min="16" max="16" width="16" hidden="0" customWidth="1"/>
    <x:col min="17" max="17" width="50" hidden="0" customWidth="1"/>
  </x:cols>
  <x:sheetData>
    <x:row r="1">
      <x:c r="A1" s="24" t="str">
        <x:v>Evidence ID</x:v>
      </x:c>
      <x:c r="B1" s="24" t="str">
        <x:v>Received Date</x:v>
      </x:c>
      <x:c r="C1" s="24" t="str">
        <x:v>Customer</x:v>
      </x:c>
      <x:c r="D1" s="24" t="str">
        <x:v>Contact</x:v>
      </x:c>
      <x:c r="E1" s="24" t="str">
        <x:v>Pairs</x:v>
      </x:c>
      <x:c r="F1" s="24" t="str">
        <x:v>Grand Total</x:v>
      </x:c>
      <x:c r="G1" s="24" t="str">
        <x:v>Payment Method</x:v>
      </x:c>
      <x:c r="H1" s="24" t="str">
        <x:v>Amount Paid</x:v>
      </x:c>
      <x:c r="I1" s="24" t="str">
        <x:v>Balance</x:v>
      </x:c>
      <x:c r="J1" s="24" t="str">
        <x:v>Payment Status</x:v>
      </x:c>
      <x:c r="K1" s="24" t="str">
        <x:v>Estimated Release</x:v>
      </x:c>
      <x:c r="L1" s="24" t="str">
        <x:v>Staff</x:v>
      </x:c>
      <x:c r="M1" s="24" t="str">
        <x:v>Branch</x:v>
      </x:c>
      <x:c r="N1" s="24" t="str">
        <x:v>DSMR Match</x:v>
      </x:c>
      <x:c r="O1" s="24" t="str">
        <x:v>Verification</x:v>
      </x:c>
      <x:c r="P1" s="24" t="str">
        <x:v>Provenance</x:v>
      </x:c>
      <x:c r="Q1" s="24" t="str">
        <x:v>Notes</x:v>
      </x:c>
    </x:row>
    <x:row r="2">
      <x:c r="A2" t="str">
        <x:v>JO-2026-09-12-WENDEL</x:v>
      </x:c>
      <x:c r="B2" t="str">
        <x:v>2026-09-12</x:v>
      </x:c>
      <x:c r="C2" t="str">
        <x:v>Wendel Fabro</x:v>
      </x:c>
      <x:c r="D2" t="str">
        <x:v>[paper]</x:v>
      </x:c>
      <x:c r="E2" t="n">
        <x:v>3</x:v>
      </x:c>
      <x:c r="F2" s="30" t="n">
        <x:v>1725</x:v>
      </x:c>
      <x:c r="G2" s="30" t="str">
        <x:v>GCash</x:v>
      </x:c>
      <x:c r="H2" s="30" t="n">
        <x:v>725</x:v>
      </x:c>
      <x:c r="I2" s="30" t="n">
        <x:v>1000</x:v>
      </x:c>
      <x:c r="J2" t="str">
        <x:v>Down Payment</x:v>
      </x:c>
      <x:c r="K2"/>
      <x:c r="L2"/>
      <x:c r="M2" t="str">
        <x:v>Villamor</x:v>
      </x:c>
      <x:c r="N2" t="str">
        <x:v>DSMR-2026-09-12-R02</x:v>
      </x:c>
      <x:c r="O2" t="str">
        <x:v>CONFIRMED</x:v>
      </x:c>
      <x:c r="P2" t="str">
        <x:v>PAPER_SOURCE</x:v>
      </x:c>
      <x:c r="Q2" t="str">
        <x:v>Flow PR ₱575; Adidas FR ₱575; Nike black FR US ₱575.</x:v>
      </x:c>
    </x:row>
    <x:row r="3">
      <x:c r="A3" t="str">
        <x:v>JO-2026-09-12-JEROME</x:v>
      </x:c>
      <x:c r="B3" t="str">
        <x:v>2026-09-12</x:v>
      </x:c>
      <x:c r="C3" t="str">
        <x:v>Jerome Ramirez</x:v>
      </x:c>
      <x:c r="D3" t="str">
        <x:v>0998-964-1215</x:v>
      </x:c>
      <x:c r="E3" t="n">
        <x:v>2</x:v>
      </x:c>
      <x:c r="F3" s="30" t="n">
        <x:v>1025</x:v>
      </x:c>
      <x:c r="G3" s="30" t="str">
        <x:v>GCash</x:v>
      </x:c>
      <x:c r="H3" s="30" t="n">
        <x:v>512</x:v>
      </x:c>
      <x:c r="I3" s="30" t="n">
        <x:v>513</x:v>
      </x:c>
      <x:c r="J3" t="str">
        <x:v>Down Payment</x:v>
      </x:c>
      <x:c r="K3" t="str">
        <x:v>FR 2026-10-01; MR 2026-09-24</x:v>
      </x:c>
      <x:c r="L3"/>
      <x:c r="M3" t="str">
        <x:v>Villamor</x:v>
      </x:c>
      <x:c r="N3" t="str">
        <x:v>DSMR-2026-09-12-R05</x:v>
      </x:c>
      <x:c r="O3" t="str">
        <x:v>CONFIRMED</x:v>
      </x:c>
      <x:c r="P3" t="str">
        <x:v>PAPER_SOURCE</x:v>
      </x:c>
      <x:c r="Q3" t="str">
        <x:v>Converse FR ₱575; Nike MR ₱450.</x:v>
      </x:c>
    </x:row>
    <x:row r="4">
      <x:c r="A4" t="str">
        <x:v>JO-2026-09-12-SEBASTIAN</x:v>
      </x:c>
      <x:c r="B4" t="str">
        <x:v>2026-09-12</x:v>
      </x:c>
      <x:c r="C4" t="str">
        <x:v>Sebastian Casa</x:v>
      </x:c>
      <x:c r="D4" t="str">
        <x:v>0947-831-2326</x:v>
      </x:c>
      <x:c r="E4" t="n">
        <x:v>1</x:v>
      </x:c>
      <x:c r="F4" s="30" t="n">
        <x:v>450</x:v>
      </x:c>
      <x:c r="G4" s="30" t="str">
        <x:v>Cash</x:v>
      </x:c>
      <x:c r="H4" s="30" t="n">
        <x:v>325</x:v>
      </x:c>
      <x:c r="I4" s="30" t="n">
        <x:v>125</x:v>
      </x:c>
      <x:c r="J4" t="str">
        <x:v>Down Payment</x:v>
      </x:c>
      <x:c r="K4"/>
      <x:c r="L4"/>
      <x:c r="M4" t="str">
        <x:v>Villamor</x:v>
      </x:c>
      <x:c r="N4" t="str">
        <x:v>DSMR-2026-09-12-R06</x:v>
      </x:c>
      <x:c r="O4" t="str">
        <x:v>CONFIRMED</x:v>
      </x:c>
      <x:c r="P4" t="str">
        <x:v>PAPER_SOURCE</x:v>
      </x:c>
      <x:c r="Q4" t="str">
        <x:v>Skechers; service written MR/MK; preserve source abbreviation until service mapping verified.</x:v>
      </x:c>
    </x:row>
    <x:row r="5">
      <x:c r="A5" t="str">
        <x:v>JO-2026-09-14-RAPHAEL</x:v>
      </x:c>
      <x:c r="B5" t="str">
        <x:v>2026-09-14</x:v>
      </x:c>
      <x:c r="C5" t="str">
        <x:v>Raphael Puncino</x:v>
      </x:c>
      <x:c r="D5" t="str">
        <x:v>0960-222-?91</x:v>
      </x:c>
      <x:c r="E5" t="n">
        <x:v>3</x:v>
      </x:c>
      <x:c r="F5" s="30" t="n">
        <x:v>975</x:v>
      </x:c>
      <x:c r="G5" s="30" t="str">
        <x:v>GCash</x:v>
      </x:c>
      <x:c r="H5" s="30" t="n">
        <x:v>500</x:v>
      </x:c>
      <x:c r="I5" s="30" t="n">
        <x:v>475</x:v>
      </x:c>
      <x:c r="J5" t="str">
        <x:v>Down Payment</x:v>
      </x:c>
      <x:c r="K5" t="str">
        <x:v>2026-09-25 [handwritten top note]</x:v>
      </x:c>
      <x:c r="L5"/>
      <x:c r="M5" t="str">
        <x:v>Villamor</x:v>
      </x:c>
      <x:c r="N5" t="str">
        <x:v>DSMR-2026-09-14-R11</x:v>
      </x:c>
      <x:c r="O5" t="str">
        <x:v>CONFIRMED</x:v>
      </x:c>
      <x:c r="P5" t="str">
        <x:v>PAPER_SOURCE</x:v>
      </x:c>
      <x:c r="Q5" t="str">
        <x:v>3 Nike pairs, BC ₱325 each.</x:v>
      </x:c>
    </x:row>
    <x:row r="6">
      <x:c r="A6" t="str">
        <x:v>JO-2026-09-14-CHRISTIAN</x:v>
      </x:c>
      <x:c r="B6" t="str">
        <x:v>2026-09-14</x:v>
      </x:c>
      <x:c r="C6" t="str">
        <x:v>Christian Fontanilla</x:v>
      </x:c>
      <x:c r="D6" t="str">
        <x:v>0998-? [paper]</x:v>
      </x:c>
      <x:c r="E6" t="n">
        <x:v>2</x:v>
      </x:c>
      <x:c r="F6" s="30" t="n">
        <x:v>650</x:v>
      </x:c>
      <x:c r="G6" s="30" t="str">
        <x:v>GCash</x:v>
      </x:c>
      <x:c r="H6" s="30" t="n">
        <x:v>325</x:v>
      </x:c>
      <x:c r="I6" s="30" t="n">
        <x:v>325</x:v>
      </x:c>
      <x:c r="J6" t="str">
        <x:v>Down Payment</x:v>
      </x:c>
      <x:c r="K6"/>
      <x:c r="L6"/>
      <x:c r="M6" t="str">
        <x:v>Villamor</x:v>
      </x:c>
      <x:c r="N6" t="str">
        <x:v>DSMR-2026-09-14-R12</x:v>
      </x:c>
      <x:c r="O6" t="str">
        <x:v>CONFIRMED</x:v>
      </x:c>
      <x:c r="P6" t="str">
        <x:v>PAPER_SOURCE</x:v>
      </x:c>
      <x:c r="Q6" t="str">
        <x:v>2 ASICS, BC ₱325 each.</x:v>
      </x:c>
    </x:row>
    <x:row r="7">
      <x:c r="A7" t="str">
        <x:v>JO-2026-09-14-KARL</x:v>
      </x:c>
      <x:c r="B7" t="str">
        <x:v>2026-09-14</x:v>
      </x:c>
      <x:c r="C7" t="str">
        <x:v>Karl Kevin Agnas</x:v>
      </x:c>
      <x:c r="D7" t="str">
        <x:v>[paper]</x:v>
      </x:c>
      <x:c r="E7" t="n">
        <x:v>1</x:v>
      </x:c>
      <x:c r="F7" s="30" t="n">
        <x:v>325</x:v>
      </x:c>
      <x:c r="G7" s="30" t="str">
        <x:v>Cash</x:v>
      </x:c>
      <x:c r="H7" s="30" t="n">
        <x:v>325</x:v>
      </x:c>
      <x:c r="I7" s="30"/>
      <x:c r="J7" t="str">
        <x:v>Fully Paid</x:v>
      </x:c>
      <x:c r="K7" t="str">
        <x:v>2026-09-28 [handwritten top note]</x:v>
      </x:c>
      <x:c r="L7"/>
      <x:c r="M7" t="str">
        <x:v>Villamor</x:v>
      </x:c>
      <x:c r="N7" t="str">
        <x:v>DSMR-2026-09-14-R14</x:v>
      </x:c>
      <x:c r="O7" t="str">
        <x:v>CONFIRMED</x:v>
      </x:c>
      <x:c r="P7" t="str">
        <x:v>PAPER_SOURCE</x:v>
      </x:c>
      <x:c r="Q7" t="str">
        <x:v>Salomon BC ₱325.</x:v>
      </x:c>
    </x:row>
    <x:row r="8">
      <x:c r="A8" t="str">
        <x:v>JO-2026-09-14-NYX</x:v>
      </x:c>
      <x:c r="B8" t="str">
        <x:v>2026-09-14</x:v>
      </x:c>
      <x:c r="C8" t="str">
        <x:v>Nyx Pantoja</x:v>
      </x:c>
      <x:c r="D8" t="str">
        <x:v>0917-253-3957</x:v>
      </x:c>
      <x:c r="E8" t="n">
        <x:v>3</x:v>
      </x:c>
      <x:c r="F8" s="30" t="n">
        <x:v>1225</x:v>
      </x:c>
      <x:c r="G8" s="30" t="str">
        <x:v>Not Yet Paid</x:v>
      </x:c>
      <x:c r="H8" s="30"/>
      <x:c r="I8" s="30" t="n">
        <x:v>1225</x:v>
      </x:c>
      <x:c r="J8" t="str">
        <x:v>Not Yet Paid</x:v>
      </x:c>
      <x:c r="K8" t="str">
        <x:v>BC 2026-09-25; FR 2026-10-13</x:v>
      </x:c>
      <x:c r="L8" t="str">
        <x:v>Yang</x:v>
      </x:c>
      <x:c r="M8" t="str">
        <x:v>Villamor</x:v>
      </x:c>
      <x:c r="N8" t="str">
        <x:v>DSMR-2026-09-14-R16</x:v>
      </x:c>
      <x:c r="O8" t="str">
        <x:v>CONFIRMED</x:v>
      </x:c>
      <x:c r="P8" t="str">
        <x:v>PAPER_SOURCE</x:v>
      </x:c>
      <x:c r="Q8" t="str">
        <x:v>Palladium white BC ₱325; black BC ₱325; beige FR ₱575.</x:v>
      </x:c>
    </x:row>
    <x:row r="9">
      <x:c r="A9" t="str">
        <x:v>JO-2026-09-14-ERNEST</x:v>
      </x:c>
      <x:c r="B9" t="str">
        <x:v>2026-09-14</x:v>
      </x:c>
      <x:c r="C9" t="str">
        <x:v>Ernest Agapay [best read]</x:v>
      </x:c>
      <x:c r="D9" t="str">
        <x:v>[paper]</x:v>
      </x:c>
      <x:c r="E9" t="n">
        <x:v>1</x:v>
      </x:c>
      <x:c r="F9" s="30" t="n">
        <x:v>925</x:v>
      </x:c>
      <x:c r="G9" s="30" t="str">
        <x:v>GCash</x:v>
      </x:c>
      <x:c r="H9" s="30" t="n">
        <x:v>925</x:v>
      </x:c>
      <x:c r="I9" s="30"/>
      <x:c r="J9" t="str">
        <x:v>Fully Paid</x:v>
      </x:c>
      <x:c r="K9"/>
      <x:c r="L9"/>
      <x:c r="M9" t="str">
        <x:v>Villamor</x:v>
      </x:c>
      <x:c r="N9" t="str">
        <x:v>DSMR-2026-09-14-R10</x:v>
      </x:c>
      <x:c r="O9" t="str">
        <x:v>MANUAL REVIEW</x:v>
      </x:c>
      <x:c r="P9" t="str">
        <x:v>PAPER_SOURCE</x:v>
      </x:c>
      <x:c r="Q9" t="str">
        <x:v>Birkenstock; MRES + color renewal; ₱550 + ₱375.</x:v>
      </x:c>
    </x:row>
    <x:row r="10">
      <x:c r="A10" t="str">
        <x:v>JO-2026-09-14-KENNETH</x:v>
      </x:c>
      <x:c r="B10" t="str">
        <x:v>2026-09-14</x:v>
      </x:c>
      <x:c r="C10" t="str">
        <x:v>Kenneth Gutierrez</x:v>
      </x:c>
      <x:c r="D10" t="str">
        <x:v>c/o Aileen</x:v>
      </x:c>
      <x:c r="E10" t="n">
        <x:v>6</x:v>
      </x:c>
      <x:c r="F10" s="30" t="n">
        <x:v>2900</x:v>
      </x:c>
      <x:c r="G10" s="30" t="str">
        <x:v>Not Yet Paid</x:v>
      </x:c>
      <x:c r="H10" s="30"/>
      <x:c r="I10" s="30" t="n">
        <x:v>2900</x:v>
      </x:c>
      <x:c r="J10" t="str">
        <x:v>Not Yet Paid</x:v>
      </x:c>
      <x:c r="K10" t="str">
        <x:v>BC 2026-09-24; MRES 2026-10-02; FR 2026-10-14</x:v>
      </x:c>
      <x:c r="L10" t="str">
        <x:v>Yang</x:v>
      </x:c>
      <x:c r="M10" t="str">
        <x:v>Villamor</x:v>
      </x:c>
      <x:c r="N10" t="str">
        <x:v>DSMR-2026-09-14-R17</x:v>
      </x:c>
      <x:c r="O10" t="str">
        <x:v>CONFIRMED</x:v>
      </x:c>
      <x:c r="P10" t="str">
        <x:v>PAPER_SOURCE</x:v>
      </x:c>
      <x:c r="Q10" t="str">
        <x:v>Adidas BC; Oncloud BC; Nike MRES; Boost MRES; Adidas white FR US; Nike black FR MID.</x:v>
      </x:c>
    </x:row>
    <x:row r="11">
      <x:c r="A11" t="str">
        <x:v>JO-2026-09-15-JUAN</x:v>
      </x:c>
      <x:c r="B11" t="str">
        <x:v>2026-09-15</x:v>
      </x:c>
      <x:c r="C11" t="str">
        <x:v>Juan [surname unclear]</x:v>
      </x:c>
      <x:c r="D11" t="str">
        <x:v>[paper]</x:v>
      </x:c>
      <x:c r="E11" t="n">
        <x:v>2</x:v>
      </x:c>
      <x:c r="F11" s="30" t="n">
        <x:v>1400</x:v>
      </x:c>
      <x:c r="G11" s="30" t="str">
        <x:v>Cash</x:v>
      </x:c>
      <x:c r="H11" s="30" t="n">
        <x:v>1400</x:v>
      </x:c>
      <x:c r="I11" s="30"/>
      <x:c r="J11" t="str">
        <x:v>Fully Paid</x:v>
      </x:c>
      <x:c r="K11"/>
      <x:c r="L11"/>
      <x:c r="M11" t="str">
        <x:v>Villamor</x:v>
      </x:c>
      <x:c r="N11" t="str">
        <x:v>DSMR-2026-09-15-R05</x:v>
      </x:c>
      <x:c r="O11" t="str">
        <x:v>MANUAL REVIEW</x:v>
      </x:c>
      <x:c r="P11" t="str">
        <x:v>PAPER_SOURCE</x:v>
      </x:c>
      <x:c r="Q11" t="str">
        <x:v>Two rush MRES-type services; paper shows 550+150 and 550+100; exact second shoe/service abbreviation needs review.</x:v>
      </x:c>
    </x:row>
    <x:row r="12">
      <x:c r="A12" t="str">
        <x:v>JO-2026-09-15-ANTONIO</x:v>
      </x:c>
      <x:c r="B12" t="str">
        <x:v>2026-09-15</x:v>
      </x:c>
      <x:c r="C12" t="str">
        <x:v>Antonio Lagunada [best read]</x:v>
      </x:c>
      <x:c r="D12" t="str">
        <x:v>[paper]</x:v>
      </x:c>
      <x:c r="E12" t="n">
        <x:v>1</x:v>
      </x:c>
      <x:c r="F12" s="30" t="n">
        <x:v>475</x:v>
      </x:c>
      <x:c r="G12" s="30" t="str">
        <x:v>Cash</x:v>
      </x:c>
      <x:c r="H12" s="30" t="n">
        <x:v>475</x:v>
      </x:c>
      <x:c r="I12" s="30"/>
      <x:c r="J12" t="str">
        <x:v>Fully Paid</x:v>
      </x:c>
      <x:c r="K12"/>
      <x:c r="L12"/>
      <x:c r="M12" t="str">
        <x:v>Villamor</x:v>
      </x:c>
      <x:c r="N12" t="str">
        <x:v>DSMR-2026-09-15-R06</x:v>
      </x:c>
      <x:c r="O12" t="str">
        <x:v>MANUAL REVIEW</x:v>
      </x:c>
      <x:c r="P12" t="str">
        <x:v>PAPER_SOURCE</x:v>
      </x:c>
      <x:c r="Q12" t="str">
        <x:v>Oncloud BC rush ₱475.</x:v>
      </x:c>
    </x:row>
    <x:row r="13">
      <x:c r="A13" t="str">
        <x:v>JO-2026-09-15-CICO</x:v>
      </x:c>
      <x:c r="B13" t="str">
        <x:v>2026-09-15</x:v>
      </x:c>
      <x:c r="C13" t="str">
        <x:v>Cico B. Conde [best read]</x:v>
      </x:c>
      <x:c r="D13" t="str">
        <x:v>[paper]</x:v>
      </x:c>
      <x:c r="E13" t="n">
        <x:v>1</x:v>
      </x:c>
      <x:c r="F13" s="30" t="n">
        <x:v>325</x:v>
      </x:c>
      <x:c r="G13" s="30" t="str">
        <x:v>Cash</x:v>
      </x:c>
      <x:c r="H13" s="30" t="n">
        <x:v>100</x:v>
      </x:c>
      <x:c r="I13" s="30" t="n">
        <x:v>225</x:v>
      </x:c>
      <x:c r="J13" t="str">
        <x:v>Down Payment</x:v>
      </x:c>
      <x:c r="K13" t="str">
        <x:v>2026-09-24 [top handwritten note]</x:v>
      </x:c>
      <x:c r="L13"/>
      <x:c r="M13" t="str">
        <x:v>Villamor</x:v>
      </x:c>
      <x:c r="N13" t="str">
        <x:v>DSMR-2026-09-15-R07</x:v>
      </x:c>
      <x:c r="O13" t="str">
        <x:v>MANUAL REVIEW</x:v>
      </x:c>
      <x:c r="P13" t="str">
        <x:v>PAPER_SOURCE</x:v>
      </x:c>
      <x:c r="Q13" t="str">
        <x:v>Vans BC ₱325.</x:v>
      </x:c>
    </x:row>
    <x:row r="14">
      <x:c r="A14" t="str">
        <x:v>JO-2026-09-16-ARBON</x:v>
      </x:c>
      <x:c r="B14" t="str">
        <x:v>2026-09-16</x:v>
      </x:c>
      <x:c r="C14" t="str">
        <x:v>Arbon James Doras [best read]</x:v>
      </x:c>
      <x:c r="D14" t="str">
        <x:v>[paper]</x:v>
      </x:c>
      <x:c r="E14" t="n">
        <x:v>1</x:v>
      </x:c>
      <x:c r="F14" s="30" t="n">
        <x:v>725</x:v>
      </x:c>
      <x:c r="G14" s="30" t="str">
        <x:v>GCash</x:v>
      </x:c>
      <x:c r="H14" s="30" t="n">
        <x:v>360</x:v>
      </x:c>
      <x:c r="I14" s="30" t="n">
        <x:v>365</x:v>
      </x:c>
      <x:c r="J14" t="str">
        <x:v>Down Payment</x:v>
      </x:c>
      <x:c r="K14"/>
      <x:c r="L14"/>
      <x:c r="M14" t="str">
        <x:v>Villamor</x:v>
      </x:c>
      <x:c r="N14"/>
      <x:c r="O14" t="str">
        <x:v>MANUAL REVIEW</x:v>
      </x:c>
      <x:c r="P14" t="str">
        <x:v>PAPER_SOURCE</x:v>
      </x:c>
      <x:c r="Q14" t="str">
        <x:v>Jordan; FR MID + FR US + add-on? Written price appears 575 +150; preserve source.</x:v>
      </x:c>
    </x:row>
    <x:row r="15">
      <x:c r="A15" t="str">
        <x:v>JO-2026-09-16-LAWRENCE</x:v>
      </x:c>
      <x:c r="B15" t="str">
        <x:v>2026-09-16</x:v>
      </x:c>
      <x:c r="C15" t="str">
        <x:v>Lawrence [surname unclear]</x:v>
      </x:c>
      <x:c r="D15" t="str">
        <x:v>[paper]</x:v>
      </x:c>
      <x:c r="E15" t="n">
        <x:v>2</x:v>
      </x:c>
      <x:c r="F15" s="30" t="n">
        <x:v>1175</x:v>
      </x:c>
      <x:c r="G15" s="30" t="str">
        <x:v>Cash</x:v>
      </x:c>
      <x:c r="H15" s="30" t="n">
        <x:v>1175</x:v>
      </x:c>
      <x:c r="I15" s="30"/>
      <x:c r="J15" t="str">
        <x:v>Fully Paid</x:v>
      </x:c>
      <x:c r="K15"/>
      <x:c r="L15"/>
      <x:c r="M15" t="str">
        <x:v>Villamor</x:v>
      </x:c>
      <x:c r="N15"/>
      <x:c r="O15" t="str">
        <x:v>MANUAL REVIEW</x:v>
      </x:c>
      <x:c r="P15" t="str">
        <x:v>PAPER_SOURCE</x:v>
      </x:c>
      <x:c r="Q15" t="str">
        <x:v>Nike AF1 BC rush 325+150; Tiger MRES rush 550+150.</x:v>
      </x:c>
    </x:row>
  </x:sheetData>
  <x:pageMargins left="0.7" right="0.7" top="0.75" bottom="0.75" header="0.3" footer="0.3"/>
  <x:tableParts count="1">
    <x:tablePart xmlns:r="http://schemas.openxmlformats.org/officeDocument/2006/relationships" r:id="R4f7bb77ea0c44c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5" hidden="0" customWidth="1"/>
    <x:col min="4" max="4" width="24" hidden="0" customWidth="1"/>
    <x:col min="5" max="5" width="12" hidden="0" customWidth="1"/>
    <x:col min="6" max="6" width="9" hidden="0" customWidth="1"/>
    <x:col min="7" max="7" width="18" hidden="0" customWidth="1"/>
    <x:col min="8" max="8" width="16" hidden="0" customWidth="1"/>
  </x:cols>
  <x:sheetData>
    <x:row r="1">
      <x:c r="A1" s="24" t="str">
        <x:v>Job Order Evidence ID</x:v>
      </x:c>
      <x:c r="B1" s="24" t="str">
        <x:v>Pair #</x:v>
      </x:c>
      <x:c r="C1" s="24" t="str">
        <x:v>Shoe / Description</x:v>
      </x:c>
      <x:c r="D1" s="24" t="str">
        <x:v>Service (as written)</x:v>
      </x:c>
      <x:c r="E1" s="24" t="str">
        <x:v>Price</x:v>
      </x:c>
      <x:c r="F1" s="24" t="str">
        <x:v>Rush?</x:v>
      </x:c>
      <x:c r="G1" s="24" t="str">
        <x:v>Estimated Release</x:v>
      </x:c>
      <x:c r="H1" s="24" t="str">
        <x:v>Verification</x:v>
      </x:c>
    </x:row>
    <x:row r="2">
      <x:c r="A2" t="str">
        <x:v>JO-2026-09-12-WENDEL</x:v>
      </x:c>
      <x:c r="B2" t="n">
        <x:v>1</x:v>
      </x:c>
      <x:c r="C2" t="str">
        <x:v>Flow</x:v>
      </x:c>
      <x:c r="D2" t="str">
        <x:v>PR</x:v>
      </x:c>
      <x:c r="E2" s="30" t="n">
        <x:v>575</x:v>
      </x:c>
      <x:c r="F2" t="str">
        <x:v>No</x:v>
      </x:c>
      <x:c r="G2"/>
      <x:c r="H2" t="str">
        <x:v>SOURCE</x:v>
      </x:c>
    </x:row>
    <x:row r="3">
      <x:c r="A3" t="str">
        <x:v>JO-2026-09-12-WENDEL</x:v>
      </x:c>
      <x:c r="B3" t="n">
        <x:v>2</x:v>
      </x:c>
      <x:c r="C3" t="str">
        <x:v>Adidas</x:v>
      </x:c>
      <x:c r="D3" t="str">
        <x:v>FR</x:v>
      </x:c>
      <x:c r="E3" s="30" t="n">
        <x:v>575</x:v>
      </x:c>
      <x:c r="F3" t="str">
        <x:v>No</x:v>
      </x:c>
      <x:c r="G3"/>
      <x:c r="H3" t="str">
        <x:v>SOURCE</x:v>
      </x:c>
    </x:row>
    <x:row r="4">
      <x:c r="A4" t="str">
        <x:v>JO-2026-09-12-WENDEL</x:v>
      </x:c>
      <x:c r="B4" t="n">
        <x:v>3</x:v>
      </x:c>
      <x:c r="C4" t="str">
        <x:v>Nike black</x:v>
      </x:c>
      <x:c r="D4" t="str">
        <x:v>FR US</x:v>
      </x:c>
      <x:c r="E4" s="30" t="n">
        <x:v>575</x:v>
      </x:c>
      <x:c r="F4" t="str">
        <x:v>No</x:v>
      </x:c>
      <x:c r="G4"/>
      <x:c r="H4" t="str">
        <x:v>SOURCE</x:v>
      </x:c>
    </x:row>
    <x:row r="5">
      <x:c r="A5" t="str">
        <x:v>JO-2026-09-12-JEROME</x:v>
      </x:c>
      <x:c r="B5" t="n">
        <x:v>1</x:v>
      </x:c>
      <x:c r="C5" t="str">
        <x:v>Converse</x:v>
      </x:c>
      <x:c r="D5" t="str">
        <x:v>FR</x:v>
      </x:c>
      <x:c r="E5" s="30" t="n">
        <x:v>575</x:v>
      </x:c>
      <x:c r="F5" t="str">
        <x:v>No</x:v>
      </x:c>
      <x:c r="G5" t="str">
        <x:v>2026-10-01</x:v>
      </x:c>
      <x:c r="H5" t="str">
        <x:v>SOURCE</x:v>
      </x:c>
    </x:row>
    <x:row r="6">
      <x:c r="A6" t="str">
        <x:v>JO-2026-09-12-JEROME</x:v>
      </x:c>
      <x:c r="B6" t="n">
        <x:v>2</x:v>
      </x:c>
      <x:c r="C6" t="str">
        <x:v>Nike</x:v>
      </x:c>
      <x:c r="D6" t="str">
        <x:v>MR</x:v>
      </x:c>
      <x:c r="E6" s="30" t="n">
        <x:v>450</x:v>
      </x:c>
      <x:c r="F6" t="str">
        <x:v>No</x:v>
      </x:c>
      <x:c r="G6" t="str">
        <x:v>2026-09-24</x:v>
      </x:c>
      <x:c r="H6" t="str">
        <x:v>SOURCE</x:v>
      </x:c>
    </x:row>
    <x:row r="7">
      <x:c r="A7" t="str">
        <x:v>JO-2026-09-12-SEBASTIAN</x:v>
      </x:c>
      <x:c r="B7" t="n">
        <x:v>1</x:v>
      </x:c>
      <x:c r="C7" t="str">
        <x:v>Skechers</x:v>
      </x:c>
      <x:c r="D7" t="str">
        <x:v>MR/MK [handwriting]</x:v>
      </x:c>
      <x:c r="E7" s="30" t="n">
        <x:v>450</x:v>
      </x:c>
      <x:c r="F7" t="str">
        <x:v>No</x:v>
      </x:c>
      <x:c r="G7"/>
      <x:c r="H7" t="str">
        <x:v>MANUAL REVIEW</x:v>
      </x:c>
    </x:row>
    <x:row r="8">
      <x:c r="A8" t="str">
        <x:v>JO-2026-09-14-RAPHAEL</x:v>
      </x:c>
      <x:c r="B8" t="n">
        <x:v>1</x:v>
      </x:c>
      <x:c r="C8" t="str">
        <x:v>Nike gray</x:v>
      </x:c>
      <x:c r="D8" t="str">
        <x:v>BC</x:v>
      </x:c>
      <x:c r="E8" s="30" t="n">
        <x:v>325</x:v>
      </x:c>
      <x:c r="F8" t="str">
        <x:v>No</x:v>
      </x:c>
      <x:c r="G8"/>
      <x:c r="H8" t="str">
        <x:v>SOURCE</x:v>
      </x:c>
    </x:row>
    <x:row r="9">
      <x:c r="A9" t="str">
        <x:v>JO-2026-09-14-RAPHAEL</x:v>
      </x:c>
      <x:c r="B9" t="n">
        <x:v>2</x:v>
      </x:c>
      <x:c r="C9" t="str">
        <x:v>Nike white/blue</x:v>
      </x:c>
      <x:c r="D9" t="str">
        <x:v>BC</x:v>
      </x:c>
      <x:c r="E9" s="30" t="n">
        <x:v>325</x:v>
      </x:c>
      <x:c r="F9" t="str">
        <x:v>No</x:v>
      </x:c>
      <x:c r="G9"/>
      <x:c r="H9" t="str">
        <x:v>SOURCE</x:v>
      </x:c>
    </x:row>
    <x:row r="10">
      <x:c r="A10" t="str">
        <x:v>JO-2026-09-14-RAPHAEL</x:v>
      </x:c>
      <x:c r="B10" t="n">
        <x:v>3</x:v>
      </x:c>
      <x:c r="C10" t="str">
        <x:v>Nike black/white</x:v>
      </x:c>
      <x:c r="D10" t="str">
        <x:v>BC</x:v>
      </x:c>
      <x:c r="E10" s="30" t="n">
        <x:v>325</x:v>
      </x:c>
      <x:c r="F10" t="str">
        <x:v>No</x:v>
      </x:c>
      <x:c r="G10"/>
      <x:c r="H10" t="str">
        <x:v>SOURCE</x:v>
      </x:c>
    </x:row>
    <x:row r="11">
      <x:c r="A11" t="str">
        <x:v>JO-2026-09-14-CHRISTIAN</x:v>
      </x:c>
      <x:c r="B11" t="n">
        <x:v>1</x:v>
      </x:c>
      <x:c r="C11" t="str">
        <x:v>ASICS</x:v>
      </x:c>
      <x:c r="D11" t="str">
        <x:v>BC</x:v>
      </x:c>
      <x:c r="E11" s="30" t="n">
        <x:v>325</x:v>
      </x:c>
      <x:c r="F11" t="str">
        <x:v>No</x:v>
      </x:c>
      <x:c r="G11"/>
      <x:c r="H11" t="str">
        <x:v>SOURCE</x:v>
      </x:c>
    </x:row>
    <x:row r="12">
      <x:c r="A12" t="str">
        <x:v>JO-2026-09-14-CHRISTIAN</x:v>
      </x:c>
      <x:c r="B12" t="n">
        <x:v>2</x:v>
      </x:c>
      <x:c r="C12" t="str">
        <x:v>ASICS</x:v>
      </x:c>
      <x:c r="D12" t="str">
        <x:v>BC</x:v>
      </x:c>
      <x:c r="E12" s="30" t="n">
        <x:v>325</x:v>
      </x:c>
      <x:c r="F12" t="str">
        <x:v>No</x:v>
      </x:c>
      <x:c r="G12"/>
      <x:c r="H12" t="str">
        <x:v>SOURCE</x:v>
      </x:c>
    </x:row>
    <x:row r="13">
      <x:c r="A13" t="str">
        <x:v>JO-2026-09-14-KARL</x:v>
      </x:c>
      <x:c r="B13" t="n">
        <x:v>1</x:v>
      </x:c>
      <x:c r="C13" t="str">
        <x:v>Salomon</x:v>
      </x:c>
      <x:c r="D13" t="str">
        <x:v>BC</x:v>
      </x:c>
      <x:c r="E13" s="30" t="n">
        <x:v>325</x:v>
      </x:c>
      <x:c r="F13" t="str">
        <x:v>No</x:v>
      </x:c>
      <x:c r="G13"/>
      <x:c r="H13" t="str">
        <x:v>SOURCE</x:v>
      </x:c>
    </x:row>
    <x:row r="14">
      <x:c r="A14" t="str">
        <x:v>JO-2026-09-14-NYX</x:v>
      </x:c>
      <x:c r="B14" t="n">
        <x:v>1</x:v>
      </x:c>
      <x:c r="C14" t="str">
        <x:v>Palladium white</x:v>
      </x:c>
      <x:c r="D14" t="str">
        <x:v>BC</x:v>
      </x:c>
      <x:c r="E14" s="30" t="n">
        <x:v>325</x:v>
      </x:c>
      <x:c r="F14" t="str">
        <x:v>No</x:v>
      </x:c>
      <x:c r="G14" t="str">
        <x:v>2026-09-25</x:v>
      </x:c>
      <x:c r="H14" t="str">
        <x:v>SOURCE</x:v>
      </x:c>
    </x:row>
    <x:row r="15">
      <x:c r="A15" t="str">
        <x:v>JO-2026-09-14-NYX</x:v>
      </x:c>
      <x:c r="B15" t="n">
        <x:v>2</x:v>
      </x:c>
      <x:c r="C15" t="str">
        <x:v>Palladium black</x:v>
      </x:c>
      <x:c r="D15" t="str">
        <x:v>BC</x:v>
      </x:c>
      <x:c r="E15" s="30" t="n">
        <x:v>325</x:v>
      </x:c>
      <x:c r="F15" t="str">
        <x:v>No</x:v>
      </x:c>
      <x:c r="G15" t="str">
        <x:v>2026-09-25</x:v>
      </x:c>
      <x:c r="H15" t="str">
        <x:v>SOURCE</x:v>
      </x:c>
    </x:row>
    <x:row r="16">
      <x:c r="A16" t="str">
        <x:v>JO-2026-09-14-NYX</x:v>
      </x:c>
      <x:c r="B16" t="n">
        <x:v>3</x:v>
      </x:c>
      <x:c r="C16" t="str">
        <x:v>Palladium beige</x:v>
      </x:c>
      <x:c r="D16" t="str">
        <x:v>FR</x:v>
      </x:c>
      <x:c r="E16" s="30" t="n">
        <x:v>575</x:v>
      </x:c>
      <x:c r="F16" t="str">
        <x:v>No</x:v>
      </x:c>
      <x:c r="G16" t="str">
        <x:v>2026-10-13</x:v>
      </x:c>
      <x:c r="H16" t="str">
        <x:v>SOURCE</x:v>
      </x:c>
    </x:row>
    <x:row r="17">
      <x:c r="A17" t="str">
        <x:v>JO-2026-09-14-ERNEST</x:v>
      </x:c>
      <x:c r="B17" t="n">
        <x:v>1</x:v>
      </x:c>
      <x:c r="C17" t="str">
        <x:v>Birkenstock</x:v>
      </x:c>
      <x:c r="D17" t="str">
        <x:v>MRES + color renewal</x:v>
      </x:c>
      <x:c r="E17" s="30" t="n">
        <x:v>925</x:v>
      </x:c>
      <x:c r="F17" t="str">
        <x:v>No</x:v>
      </x:c>
      <x:c r="G17"/>
      <x:c r="H17" t="str">
        <x:v>SOURCE</x:v>
      </x:c>
    </x:row>
    <x:row r="18">
      <x:c r="A18" t="str">
        <x:v>JO-2026-09-14-KENNETH</x:v>
      </x:c>
      <x:c r="B18" t="n">
        <x:v>1</x:v>
      </x:c>
      <x:c r="C18" t="str">
        <x:v>Adidas</x:v>
      </x:c>
      <x:c r="D18" t="str">
        <x:v>BC</x:v>
      </x:c>
      <x:c r="E18" s="30" t="n">
        <x:v>325</x:v>
      </x:c>
      <x:c r="F18" t="str">
        <x:v>No</x:v>
      </x:c>
      <x:c r="G18" t="str">
        <x:v>2026-09-24</x:v>
      </x:c>
      <x:c r="H18" t="str">
        <x:v>SOURCE</x:v>
      </x:c>
    </x:row>
    <x:row r="19">
      <x:c r="A19" t="str">
        <x:v>JO-2026-09-14-KENNETH</x:v>
      </x:c>
      <x:c r="B19" t="n">
        <x:v>2</x:v>
      </x:c>
      <x:c r="C19" t="str">
        <x:v>Oncloud</x:v>
      </x:c>
      <x:c r="D19" t="str">
        <x:v>BC</x:v>
      </x:c>
      <x:c r="E19" s="30" t="n">
        <x:v>325</x:v>
      </x:c>
      <x:c r="F19" t="str">
        <x:v>No</x:v>
      </x:c>
      <x:c r="G19" t="str">
        <x:v>2026-09-24</x:v>
      </x:c>
      <x:c r="H19" t="str">
        <x:v>SOURCE</x:v>
      </x:c>
    </x:row>
    <x:row r="20">
      <x:c r="A20" t="str">
        <x:v>JO-2026-09-14-KENNETH</x:v>
      </x:c>
      <x:c r="B20" t="n">
        <x:v>3</x:v>
      </x:c>
      <x:c r="C20" t="str">
        <x:v>Nike</x:v>
      </x:c>
      <x:c r="D20" t="str">
        <x:v>MRES</x:v>
      </x:c>
      <x:c r="E20" s="30" t="n">
        <x:v>550</x:v>
      </x:c>
      <x:c r="F20" t="str">
        <x:v>No</x:v>
      </x:c>
      <x:c r="G20" t="str">
        <x:v>2026-10-02</x:v>
      </x:c>
      <x:c r="H20" t="str">
        <x:v>SOURCE</x:v>
      </x:c>
    </x:row>
    <x:row r="21">
      <x:c r="A21" t="str">
        <x:v>JO-2026-09-14-KENNETH</x:v>
      </x:c>
      <x:c r="B21" t="n">
        <x:v>4</x:v>
      </x:c>
      <x:c r="C21" t="str">
        <x:v>Boost</x:v>
      </x:c>
      <x:c r="D21" t="str">
        <x:v>MRES</x:v>
      </x:c>
      <x:c r="E21" s="30" t="n">
        <x:v>550</x:v>
      </x:c>
      <x:c r="F21" t="str">
        <x:v>No</x:v>
      </x:c>
      <x:c r="G21" t="str">
        <x:v>2026-10-02</x:v>
      </x:c>
      <x:c r="H21" t="str">
        <x:v>SOURCE</x:v>
      </x:c>
    </x:row>
    <x:row r="22">
      <x:c r="A22" t="str">
        <x:v>JO-2026-09-14-KENNETH</x:v>
      </x:c>
      <x:c r="B22" t="n">
        <x:v>5</x:v>
      </x:c>
      <x:c r="C22" t="str">
        <x:v>Adidas white</x:v>
      </x:c>
      <x:c r="D22" t="str">
        <x:v>FR US</x:v>
      </x:c>
      <x:c r="E22" s="30" t="n">
        <x:v>575</x:v>
      </x:c>
      <x:c r="F22" t="str">
        <x:v>No</x:v>
      </x:c>
      <x:c r="G22" t="str">
        <x:v>2026-10-14</x:v>
      </x:c>
      <x:c r="H22" t="str">
        <x:v>SOURCE</x:v>
      </x:c>
    </x:row>
    <x:row r="23">
      <x:c r="A23" t="str">
        <x:v>JO-2026-09-14-KENNETH</x:v>
      </x:c>
      <x:c r="B23" t="n">
        <x:v>6</x:v>
      </x:c>
      <x:c r="C23" t="str">
        <x:v>Nike black</x:v>
      </x:c>
      <x:c r="D23" t="str">
        <x:v>FR MID</x:v>
      </x:c>
      <x:c r="E23" s="30" t="n">
        <x:v>575</x:v>
      </x:c>
      <x:c r="F23" t="str">
        <x:v>No</x:v>
      </x:c>
      <x:c r="G23" t="str">
        <x:v>2026-10-14</x:v>
      </x:c>
      <x:c r="H23" t="str">
        <x:v>SOURCE</x:v>
      </x:c>
    </x:row>
    <x:row r="24">
      <x:c r="A24" t="str">
        <x:v>JO-2026-09-15-ANTONIO</x:v>
      </x:c>
      <x:c r="B24" t="n">
        <x:v>1</x:v>
      </x:c>
      <x:c r="C24" t="str">
        <x:v>Oncloud</x:v>
      </x:c>
      <x:c r="D24" t="str">
        <x:v>BC</x:v>
      </x:c>
      <x:c r="E24" s="30" t="n">
        <x:v>475</x:v>
      </x:c>
      <x:c r="F24" t="str">
        <x:v>Yes</x:v>
      </x:c>
      <x:c r="G24"/>
      <x:c r="H24" t="str">
        <x:v>SOURCE</x:v>
      </x:c>
    </x:row>
    <x:row r="25">
      <x:c r="A25" t="str">
        <x:v>JO-2026-09-15-CICO</x:v>
      </x:c>
      <x:c r="B25" t="n">
        <x:v>1</x:v>
      </x:c>
      <x:c r="C25" t="str">
        <x:v>Vans</x:v>
      </x:c>
      <x:c r="D25" t="str">
        <x:v>BC</x:v>
      </x:c>
      <x:c r="E25" s="30" t="n">
        <x:v>325</x:v>
      </x:c>
      <x:c r="F25" t="str">
        <x:v>No</x:v>
      </x:c>
      <x:c r="G25" t="str">
        <x:v>2026-09-24</x:v>
      </x:c>
      <x:c r="H25" t="str">
        <x:v>SOURCE</x:v>
      </x:c>
    </x:row>
    <x:row r="26">
      <x:c r="A26" t="str">
        <x:v>JO-2026-09-16-LAWRENCE</x:v>
      </x:c>
      <x:c r="B26" t="n">
        <x:v>1</x:v>
      </x:c>
      <x:c r="C26" t="str">
        <x:v>Nike AF1</x:v>
      </x:c>
      <x:c r="D26" t="str">
        <x:v>BC</x:v>
      </x:c>
      <x:c r="E26" s="30" t="n">
        <x:v>475</x:v>
      </x:c>
      <x:c r="F26" t="str">
        <x:v>Yes</x:v>
      </x:c>
      <x:c r="G26"/>
      <x:c r="H26" t="str">
        <x:v>SOURCE</x:v>
      </x:c>
    </x:row>
    <x:row r="27">
      <x:c r="A27" t="str">
        <x:v>JO-2026-09-16-LAWRENCE</x:v>
      </x:c>
      <x:c r="B27" t="n">
        <x:v>2</x:v>
      </x:c>
      <x:c r="C27" t="str">
        <x:v>Tiger</x:v>
      </x:c>
      <x:c r="D27" t="str">
        <x:v>MRES</x:v>
      </x:c>
      <x:c r="E27" s="30" t="n">
        <x:v>700</x:v>
      </x:c>
      <x:c r="F27" t="str">
        <x:v>Yes</x:v>
      </x:c>
      <x:c r="G27"/>
      <x:c r="H27" t="str">
        <x:v>SOURCE</x:v>
      </x:c>
    </x:row>
  </x:sheetData>
  <x:pageMargins left="0.7" right="0.7" top="0.75" bottom="0.75" header="0.3" footer="0.3"/>
  <x:tableParts count="1">
    <x:tablePart xmlns:r="http://schemas.openxmlformats.org/officeDocument/2006/relationships" r:id="Rd7b31be2edcd42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20" hidden="0" customWidth="1"/>
    <x:col min="4" max="4" width="38" hidden="0" customWidth="1"/>
    <x:col min="5" max="5" width="14" hidden="0" customWidth="1"/>
    <x:col min="6" max="6" width="16" hidden="0" customWidth="1"/>
    <x:col min="7" max="7" width="20" hidden="0" customWidth="1"/>
    <x:col min="8" max="8" width="22" hidden="0" customWidth="1"/>
    <x:col min="9" max="9" width="22" hidden="0" customWidth="1"/>
    <x:col min="10" max="10" width="16" hidden="0" customWidth="1"/>
    <x:col min="11" max="11" width="55" hidden="0" customWidth="1"/>
  </x:cols>
  <x:sheetData>
    <x:row r="1">
      <x:c r="A1" s="24" t="str">
        <x:v>Expense ID</x:v>
      </x:c>
      <x:c r="B1" s="24" t="str">
        <x:v>Date / Period</x:v>
      </x:c>
      <x:c r="C1" s="24" t="str">
        <x:v>Category</x:v>
      </x:c>
      <x:c r="D1" s="24" t="str">
        <x:v>Description</x:v>
      </x:c>
      <x:c r="E1" s="24" t="str">
        <x:v>Amount</x:v>
      </x:c>
      <x:c r="F1" s="24" t="str">
        <x:v>Frequency</x:v>
      </x:c>
      <x:c r="G1" s="24" t="str">
        <x:v>Pilot Window?</x:v>
      </x:c>
      <x:c r="H1" s="24" t="str">
        <x:v>Current-Period Expense?</x:v>
      </x:c>
      <x:c r="I1" s="24" t="str">
        <x:v>Evidence Status</x:v>
      </x:c>
      <x:c r="J1" s="24" t="str">
        <x:v>Provenance</x:v>
      </x:c>
      <x:c r="K1" s="24" t="str">
        <x:v>Notes</x:v>
      </x:c>
    </x:row>
    <x:row r="2">
      <x:c r="A2" t="str">
        <x:v>EXP-RENT-SEP2026</x:v>
      </x:c>
      <x:c r="B2" t="str">
        <x:v>2026-09</x:v>
      </x:c>
      <x:c r="C2" t="str">
        <x:v>Rent</x:v>
      </x:c>
      <x:c r="D2" t="str">
        <x:v>Monthly shop rent</x:v>
      </x:c>
      <x:c r="E2" s="30" t="n">
        <x:v>20000</x:v>
      </x:c>
      <x:c r="F2" t="str">
        <x:v>Monthly</x:v>
      </x:c>
      <x:c r="G2" t="str">
        <x:v>Operating expense during pilot month</x:v>
      </x:c>
      <x:c r="H2" t="str">
        <x:v>Yes</x:v>
      </x:c>
      <x:c r="I2" t="str">
        <x:v>USER-CONFIRMED</x:v>
      </x:c>
      <x:c r="J2" t="str">
        <x:v>PAPER/USER_SOURCE</x:v>
      </x:c>
      <x:c r="K2" t="str">
        <x:v>Do not describe full monthly rent as incremental pilot-testing cost.</x:v>
      </x:c>
    </x:row>
    <x:row r="3">
      <x:c r="A3" t="str">
        <x:v>EXP-MERALCO-2026-09-29</x:v>
      </x:c>
      <x:c r="B3" t="str">
        <x:v>2026-08-30 to 2026-09-29</x:v>
      </x:c>
      <x:c r="C3" t="str">
        <x:v>Electricity</x:v>
      </x:c>
      <x:c r="D3" t="str">
        <x:v>MERALCO Business-General Service A; 248 kWh</x:v>
      </x:c>
      <x:c r="E3" s="30" t="n">
        <x:v>3745.17</x:v>
      </x:c>
      <x:c r="F3" t="str">
        <x:v>Billing period</x:v>
      </x:c>
      <x:c r="G3" t="str">
        <x:v>Period overlaps pilot</x:v>
      </x:c>
      <x:c r="H3" t="str">
        <x:v>Yes</x:v>
      </x:c>
      <x:c r="I3" t="str">
        <x:v>VERIFIED BILL</x:v>
      </x:c>
      <x:c r="J3" t="str">
        <x:v>PAPER_SOURCE</x:v>
      </x:c>
      <x:c r="K3" t="str">
        <x:v>Previous balance ₱0.00; bill date 2026-09-29; due 2026-10-11.</x:v>
      </x:c>
    </x:row>
    <x:row r="4">
      <x:c r="A4" t="str">
        <x:v>EXP-CONVERGE-SEP2026</x:v>
      </x:c>
      <x:c r="B4" t="str">
        <x:v>2026-09</x:v>
      </x:c>
      <x:c r="C4" t="str">
        <x:v>Internet</x:v>
      </x:c>
      <x:c r="D4" t="str">
        <x:v>Converge monthly internet</x:v>
      </x:c>
      <x:c r="E4" s="30" t="n">
        <x:v>1299</x:v>
      </x:c>
      <x:c r="F4" t="str">
        <x:v>Monthly</x:v>
      </x:c>
      <x:c r="G4" t="str">
        <x:v>Operating expense during pilot month</x:v>
      </x:c>
      <x:c r="H4" t="str">
        <x:v>Yes</x:v>
      </x:c>
      <x:c r="I4" t="str">
        <x:v>USER-CONFIRMED</x:v>
      </x:c>
      <x:c r="J4" t="str">
        <x:v>USER_SOURCE</x:v>
      </x:c>
      <x:c r="K4" t="str">
        <x:v>Actual September bill desirable for documentary verification.</x:v>
      </x:c>
    </x:row>
    <x:row r="5">
      <x:c r="A5" t="str">
        <x:v>EXP-PAYROLL-2026-09-15-JOY</x:v>
      </x:c>
      <x:c r="B5" t="str">
        <x:v>2026-09-15</x:v>
      </x:c>
      <x:c r="C5" t="str">
        <x:v>Payroll</x:v>
      </x:c>
      <x:c r="D5" t="str">
        <x:v>Joy payday</x:v>
      </x:c>
      <x:c r="E5" s="30" t="n">
        <x:v>5720</x:v>
      </x:c>
      <x:c r="F5" t="str">
        <x:v>15th &amp; 30th</x:v>
      </x:c>
      <x:c r="G5" t="str">
        <x:v>YES</x:v>
      </x:c>
      <x:c r="H5" t="str">
        <x:v>Yes</x:v>
      </x:c>
      <x:c r="I5" t="str">
        <x:v>USER-CONFIRMED</x:v>
      </x:c>
      <x:c r="J5" t="str">
        <x:v>USER_SOURCE</x:v>
      </x:c>
      <x:c r="K5" t="str">
        <x:v>Regular operating payroll; not an incremental pilot cost.</x:v>
      </x:c>
    </x:row>
    <x:row r="6">
      <x:c r="A6" t="str">
        <x:v>EXP-PAYROLL-2026-09-15-YANG</x:v>
      </x:c>
      <x:c r="B6" t="str">
        <x:v>2026-09-15</x:v>
      </x:c>
      <x:c r="C6" t="str">
        <x:v>Payroll</x:v>
      </x:c>
      <x:c r="D6" t="str">
        <x:v>Yang payday</x:v>
      </x:c>
      <x:c r="E6" s="30" t="n">
        <x:v>8320</x:v>
      </x:c>
      <x:c r="F6" t="str">
        <x:v>15th &amp; 30th</x:v>
      </x:c>
      <x:c r="G6" t="str">
        <x:v>YES</x:v>
      </x:c>
      <x:c r="H6" t="str">
        <x:v>Yes</x:v>
      </x:c>
      <x:c r="I6" t="str">
        <x:v>USER-CONFIRMED</x:v>
      </x:c>
      <x:c r="J6" t="str">
        <x:v>USER_SOURCE</x:v>
      </x:c>
      <x:c r="K6" t="str">
        <x:v>Regular operating payroll; not an incremental pilot cost.</x:v>
      </x:c>
    </x:row>
    <x:row r="7">
      <x:c r="A7" t="str">
        <x:v>EXP-PAYROLL-2026-09-30-JOY</x:v>
      </x:c>
      <x:c r="B7" t="str">
        <x:v>2026-09-30</x:v>
      </x:c>
      <x:c r="C7" t="str">
        <x:v>Payroll</x:v>
      </x:c>
      <x:c r="D7" t="str">
        <x:v>Joy payday</x:v>
      </x:c>
      <x:c r="E7" s="30" t="n">
        <x:v>5720</x:v>
      </x:c>
      <x:c r="F7" t="str">
        <x:v>15th &amp; 30th</x:v>
      </x:c>
      <x:c r="G7" t="str">
        <x:v>NO</x:v>
      </x:c>
      <x:c r="H7" t="str">
        <x:v>Yes</x:v>
      </x:c>
      <x:c r="I7" t="str">
        <x:v>USER-CONFIRMED</x:v>
      </x:c>
      <x:c r="J7" t="str">
        <x:v>USER_SOURCE</x:v>
      </x:c>
      <x:c r="K7" t="str">
        <x:v>Outside Sept 2–16 pilot window.</x:v>
      </x:c>
    </x:row>
    <x:row r="8">
      <x:c r="A8" t="str">
        <x:v>EXP-PAYROLL-2026-09-30-YANG</x:v>
      </x:c>
      <x:c r="B8" t="str">
        <x:v>2026-09-30</x:v>
      </x:c>
      <x:c r="C8" t="str">
        <x:v>Payroll</x:v>
      </x:c>
      <x:c r="D8" t="str">
        <x:v>Yang payday</x:v>
      </x:c>
      <x:c r="E8" s="30" t="n">
        <x:v>8320</x:v>
      </x:c>
      <x:c r="F8" t="str">
        <x:v>15th &amp; 30th</x:v>
      </x:c>
      <x:c r="G8" t="str">
        <x:v>NO</x:v>
      </x:c>
      <x:c r="H8" t="str">
        <x:v>Yes</x:v>
      </x:c>
      <x:c r="I8" t="str">
        <x:v>USER-CONFIRMED</x:v>
      </x:c>
      <x:c r="J8" t="str">
        <x:v>USER_SOURCE</x:v>
      </x:c>
      <x:c r="K8" t="str">
        <x:v>Outside Sept 2–16 pilot window.</x:v>
      </x:c>
    </x:row>
    <x:row r="9">
      <x:c r="A9" t="str">
        <x:v>EXP-DSMR-2026-09-12-PARCEL</x:v>
      </x:c>
      <x:c r="B9" t="str">
        <x:v>2026-09-12</x:v>
      </x:c>
      <x:c r="C9" t="str">
        <x:v>Parcel</x:v>
      </x:c>
      <x:c r="D9" t="str">
        <x:v>Parcel expense from DSMR</x:v>
      </x:c>
      <x:c r="E9" s="30" t="n">
        <x:v>442</x:v>
      </x:c>
      <x:c r="F9" t="str">
        <x:v>One-time</x:v>
      </x:c>
      <x:c r="G9" t="str">
        <x:v>YES</x:v>
      </x:c>
      <x:c r="H9" t="str">
        <x:v>Yes</x:v>
      </x:c>
      <x:c r="I9" t="str">
        <x:v>PAPER-SOURCE / VERIFY</x:v>
      </x:c>
      <x:c r="J9" t="str">
        <x:v>PAPER_SOURCE</x:v>
      </x:c>
      <x:c r="K9" t="str">
        <x:v>Earlier source reading; retain for source check.</x:v>
      </x:c>
    </x:row>
    <x:row r="10">
      <x:c r="A10" t="str">
        <x:v>EXP-DSMR-2026-09-15-PARCEL</x:v>
      </x:c>
      <x:c r="B10" t="str">
        <x:v>2026-09-15</x:v>
      </x:c>
      <x:c r="C10" t="str">
        <x:v>Parcel</x:v>
      </x:c>
      <x:c r="D10" t="str">
        <x:v>Parcel expense from DSMR</x:v>
      </x:c>
      <x:c r="E10" s="30" t="n">
        <x:v>129</x:v>
      </x:c>
      <x:c r="F10" t="str">
        <x:v>One-time</x:v>
      </x:c>
      <x:c r="G10" t="str">
        <x:v>YES</x:v>
      </x:c>
      <x:c r="H10" t="str">
        <x:v>Yes</x:v>
      </x:c>
      <x:c r="I10" t="str">
        <x:v>PAPER-SOURCE / VERIFY</x:v>
      </x:c>
      <x:c r="J10" t="str">
        <x:v>PAPER_SOURCE</x:v>
      </x:c>
      <x:c r="K10" t="str">
        <x:v>Within pilot window.</x:v>
      </x:c>
    </x:row>
    <x:row r="11">
      <x:c r="A11" t="str">
        <x:v>EXP-DSMR-2026-09-14-3000</x:v>
      </x:c>
      <x:c r="B11" t="str">
        <x:v>2026-09-14</x:v>
      </x:c>
      <x:c r="C11" t="str">
        <x:v>Unclassified cash-out</x:v>
      </x:c>
      <x:c r="D11" t="str">
        <x:v>₱3,000 c/o Maam Eileen</x:v>
      </x:c>
      <x:c r="E11" s="30" t="n">
        <x:v>3000</x:v>
      </x:c>
      <x:c r="F11" t="str">
        <x:v>One-time</x:v>
      </x:c>
      <x:c r="G11" t="str">
        <x:v>YES</x:v>
      </x:c>
      <x:c r="H11" t="str">
        <x:v>UNKNOWN</x:v>
      </x:c>
      <x:c r="I11" t="str">
        <x:v>NEEDS CLASSIFICATION</x:v>
      </x:c>
      <x:c r="J11" t="str">
        <x:v>PAPER_SOURCE</x:v>
      </x:c>
      <x:c r="K11" t="str">
        <x:v>Do not include in operating expense/net profit until business purpose is verified.</x:v>
      </x:c>
    </x:row>
    <x:row r="12">
      <x:c r="A12" t="str">
        <x:v>EXP-MAYNILAD-SEP2026</x:v>
      </x:c>
      <x:c r="B12" t="str">
        <x:v>2026-09</x:v>
      </x:c>
      <x:c r="C12" t="str">
        <x:v>Water</x:v>
      </x:c>
      <x:c r="D12" t="str">
        <x:v>Maynilad September bill / amount due previously read as ₱4,311.03</x:v>
      </x:c>
      <x:c r="E12" s="30" t="n">
        <x:v>4311.03</x:v>
      </x:c>
      <x:c r="F12" t="str">
        <x:v>Billing period</x:v>
      </x:c>
      <x:c r="G12" t="str">
        <x:v>Period overlaps pilot</x:v>
      </x:c>
      <x:c r="H12" t="str">
        <x:v>NOT VERIFIED</x:v>
      </x:c>
      <x:c r="I12" t="str">
        <x:v>HOLD</x:v>
      </x:c>
      <x:c r="J12" t="str">
        <x:v>PAPER_SOURCE</x:v>
      </x:c>
      <x:c r="K12" t="str">
        <x:v>Do not use as September expense until current-period charge vs prior balance is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d370d5f801f448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8" hidden="0" customWidth="1"/>
    <x:col min="4" max="4" width="18" hidden="0" customWidth="1"/>
    <x:col min="5" max="5" width="55" hidden="0" customWidth="1"/>
    <x:col min="6" max="6" width="42" hidden="0" customWidth="1"/>
  </x:cols>
  <x:sheetData>
    <x:row r="1">
      <x:c r="A1" s="24" t="str">
        <x:v>Job Order Evidence</x:v>
      </x:c>
      <x:c r="B1" s="24" t="str">
        <x:v>DSMR Evidence</x:v>
      </x:c>
      <x:c r="C1" s="24" t="str">
        <x:v>Customer</x:v>
      </x:c>
      <x:c r="D1" s="24" t="str">
        <x:v>Match Status</x:v>
      </x:c>
      <x:c r="E1" s="24" t="str">
        <x:v>Basis</x:v>
      </x:c>
      <x:c r="F1" s="24" t="str">
        <x:v>Action</x:v>
      </x:c>
    </x:row>
    <x:row r="2">
      <x:c r="A2" t="str">
        <x:v>JO-2026-09-12-WENDEL</x:v>
      </x:c>
      <x:c r="B2" t="str">
        <x:v>DSMR-2026-09-12-R02</x:v>
      </x:c>
      <x:c r="C2" t="str">
        <x:v>Wendel Fabro</x:v>
      </x:c>
      <x:c r="D2" t="str">
        <x:v>EXACT</x:v>
      </x:c>
      <x:c r="E2" t="str">
        <x:v>Date + customer + 3 pairs + DP ₱725 + balance ₱1,000</x:v>
      </x:c>
      <x:c r="F2" t="str">
        <x:v>Treat as one order, two evidence sources.</x:v>
      </x:c>
    </x:row>
    <x:row r="3">
      <x:c r="A3" t="str">
        <x:v>JO-2026-09-12-JEROME</x:v>
      </x:c>
      <x:c r="B3" t="str">
        <x:v>DSMR-2026-09-12-R05</x:v>
      </x:c>
      <x:c r="C3" t="str">
        <x:v>Jerome Ramirez</x:v>
      </x:c>
      <x:c r="D3" t="str">
        <x:v>EXACT</x:v>
      </x:c>
      <x:c r="E3" t="str">
        <x:v>Date + customer + 2 pairs + ₱512/₱513</x:v>
      </x:c>
      <x:c r="F3" t="str">
        <x:v>Treat as one order.</x:v>
      </x:c>
    </x:row>
    <x:row r="4">
      <x:c r="A4" t="str">
        <x:v>JO-2026-09-12-SEBASTIAN</x:v>
      </x:c>
      <x:c r="B4" t="str">
        <x:v>DSMR-2026-09-12-R06</x:v>
      </x:c>
      <x:c r="C4" t="str">
        <x:v>Sebastian Casa</x:v>
      </x:c>
      <x:c r="D4" t="str">
        <x:v>EXACT</x:v>
      </x:c>
      <x:c r="E4" t="str">
        <x:v>Date + customer + 1 pair + ₱325/₱125</x:v>
      </x:c>
      <x:c r="F4" t="str">
        <x:v>Treat as one order.</x:v>
      </x:c>
    </x:row>
    <x:row r="5">
      <x:c r="A5" t="str">
        <x:v>JO-2026-09-14-RAPHAEL</x:v>
      </x:c>
      <x:c r="B5" t="str">
        <x:v>DSMR-2026-09-14-R11</x:v>
      </x:c>
      <x:c r="C5" t="str">
        <x:v>Raphael Puncino</x:v>
      </x:c>
      <x:c r="D5" t="str">
        <x:v>EXACT</x:v>
      </x:c>
      <x:c r="E5" t="str">
        <x:v>Date + customer + 3 pairs + ₱500/₱475</x:v>
      </x:c>
      <x:c r="F5" t="str">
        <x:v>Treat as one order.</x:v>
      </x:c>
    </x:row>
    <x:row r="6">
      <x:c r="A6" t="str">
        <x:v>JO-2026-09-14-CHRISTIAN</x:v>
      </x:c>
      <x:c r="B6" t="str">
        <x:v>DSMR-2026-09-14-R12</x:v>
      </x:c>
      <x:c r="C6" t="str">
        <x:v>Christian Fontanilla</x:v>
      </x:c>
      <x:c r="D6" t="str">
        <x:v>EXACT</x:v>
      </x:c>
      <x:c r="E6" t="str">
        <x:v>Date + 2 pairs + ₱325/₱325</x:v>
      </x:c>
      <x:c r="F6" t="str">
        <x:v>Treat as one order.</x:v>
      </x:c>
    </x:row>
    <x:row r="7">
      <x:c r="A7" t="str">
        <x:v>JO-2026-09-14-KARL</x:v>
      </x:c>
      <x:c r="B7" t="str">
        <x:v>DSMR-2026-09-14-R14</x:v>
      </x:c>
      <x:c r="C7" t="str">
        <x:v>Karl Agnas</x:v>
      </x:c>
      <x:c r="D7" t="str">
        <x:v>PROBABLE</x:v>
      </x:c>
      <x:c r="E7" t="str">
        <x:v>Name variant Karl/Karl Kevin + date + 1 pair + ₱325 cash</x:v>
      </x:c>
      <x:c r="F7" t="str">
        <x:v>Review spelling, then merge evidence.</x:v>
      </x:c>
    </x:row>
    <x:row r="8">
      <x:c r="A8" t="str">
        <x:v>JO-2026-09-14-NYX</x:v>
      </x:c>
      <x:c r="B8" t="str">
        <x:v>DSMR-2026-09-14-R16</x:v>
      </x:c>
      <x:c r="C8" t="str">
        <x:v>Nyx Pantoja</x:v>
      </x:c>
      <x:c r="D8" t="str">
        <x:v>EXACT</x:v>
      </x:c>
      <x:c r="E8" t="str">
        <x:v>Date + 3 pairs + not yet paid + ₱1,225</x:v>
      </x:c>
      <x:c r="F8" t="str">
        <x:v>Treat as one order.</x:v>
      </x:c>
    </x:row>
    <x:row r="9">
      <x:c r="A9" t="str">
        <x:v>JO-2026-09-14-ERNEST</x:v>
      </x:c>
      <x:c r="B9" t="str">
        <x:v>DSMR-2026-09-14-R10</x:v>
      </x:c>
      <x:c r="C9" t="str">
        <x:v>Ernest Agapay / Acapulco</x:v>
      </x:c>
      <x:c r="D9" t="str">
        <x:v>PROBABLE</x:v>
      </x:c>
      <x:c r="E9" t="str">
        <x:v>Date + 1 pair + ₱925 GCash; surname handwriting differs</x:v>
      </x:c>
      <x:c r="F9" t="str">
        <x:v>Manual name verification before import.</x:v>
      </x:c>
    </x:row>
    <x:row r="10">
      <x:c r="A10" t="str">
        <x:v>JO-2026-09-14-KENNETH</x:v>
      </x:c>
      <x:c r="B10" t="str">
        <x:v>DSMR-2026-09-14-R17</x:v>
      </x:c>
      <x:c r="C10" t="str">
        <x:v>Kenneth Gutierrez / Enriquez</x:v>
      </x:c>
      <x:c r="D10" t="str">
        <x:v>PROBABLE</x:v>
      </x:c>
      <x:c r="E10" t="str">
        <x:v>Date + 6 pairs + not yet paid + ₱2,900</x:v>
      </x:c>
      <x:c r="F10" t="str">
        <x:v>Manual surname verification; likely same transaction.</x:v>
      </x:c>
    </x:row>
    <x:row r="11">
      <x:c r="A11" t="str">
        <x:v>JO-2026-09-15-JUAN</x:v>
      </x:c>
      <x:c r="B11" t="str">
        <x:v>DSMR-2026-09-15-R05</x:v>
      </x:c>
      <x:c r="C11" t="str">
        <x:v>Juan</x:v>
      </x:c>
      <x:c r="D11" t="str">
        <x:v>PROBABLE</x:v>
      </x:c>
      <x:c r="E11" t="str">
        <x:v>Date + 2 pairs + ₱1,400 cash</x:v>
      </x:c>
      <x:c r="F11" t="str">
        <x:v>Verify surname/service details.</x:v>
      </x:c>
    </x:row>
    <x:row r="12">
      <x:c r="A12" t="str">
        <x:v>JO-2026-09-15-ANTONIO</x:v>
      </x:c>
      <x:c r="B12" t="str">
        <x:v>DSMR-2026-09-15-R06</x:v>
      </x:c>
      <x:c r="C12" t="str">
        <x:v>Antonio Lagunada</x:v>
      </x:c>
      <x:c r="D12" t="str">
        <x:v>PROBABLE</x:v>
      </x:c>
      <x:c r="E12" t="str">
        <x:v>Date + 1 pair + ₱475 cash</x:v>
      </x:c>
      <x:c r="F12" t="str">
        <x:v>Verify spelling.</x:v>
      </x:c>
    </x:row>
    <x:row r="13">
      <x:c r="A13" t="str">
        <x:v>JO-2026-09-15-CICO</x:v>
      </x:c>
      <x:c r="B13" t="str">
        <x:v>DSMR-2026-09-15-R07</x:v>
      </x:c>
      <x:c r="C13" t="str">
        <x:v>Cico B. Conde / Rico Ancheta</x:v>
      </x:c>
      <x:c r="D13" t="str">
        <x:v>MANUAL REVIEW</x:v>
      </x:c>
      <x:c r="E13" t="str">
        <x:v>Paper form and DSMR row values both show 1 pair, ₱100 DP, ₱225 balance but customer names conflict</x:v>
      </x:c>
      <x:c r="F13" t="str">
        <x:v>Do NOT auto-merge until source rechecked.</x:v>
      </x:c>
    </x:row>
  </x:sheetData>
  <x:pageMargins left="0.7" right="0.7" top="0.75" bottom="0.75" header="0.3" footer="0.3"/>
  <x:tableParts count="1">
    <x:tablePart xmlns:r="http://schemas.openxmlformats.org/officeDocument/2006/relationships" r:id="Rb5bbd89573c748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5" hidden="0" customWidth="1"/>
    <x:col min="4" max="4" width="48" hidden="0" customWidth="1"/>
    <x:col min="5" max="5" width="60" hidden="0" customWidth="1"/>
    <x:col min="6" max="6" width="12" hidden="0" customWidth="1"/>
  </x:cols>
  <x:sheetData>
    <x:row r="1">
      <x:c r="A1" s="24" t="str">
        <x:v>ID</x:v>
      </x:c>
      <x:c r="B1" s="24" t="str">
        <x:v>Area</x:v>
      </x:c>
      <x:c r="C1" s="24" t="str">
        <x:v>Issue</x:v>
      </x:c>
      <x:c r="D1" s="24" t="str">
        <x:v>Risk if guessed</x:v>
      </x:c>
      <x:c r="E1" s="24" t="str">
        <x:v>Required Resolution</x:v>
      </x:c>
      <x:c r="F1" s="24" t="str">
        <x:v>Status</x:v>
      </x:c>
    </x:row>
    <x:row r="2">
      <x:c r="A2" t="str">
        <x:v>U-001</x:v>
      </x:c>
      <x:c r="B2" t="str">
        <x:v>DSMR Sept 14</x:v>
      </x:c>
      <x:c r="C2" t="str">
        <x:v>Claim row 8 customer name unreadable.</x:v>
      </x:c>
      <x:c r="D2" t="str">
        <x:v>Could link claim/payment to wrong order.</x:v>
      </x:c>
      <x:c r="E2" t="str">
        <x:v>Keep as UNRESOLVED HISTORICAL CLAIM until source is manually read.</x:v>
      </x:c>
      <x:c r="F2" t="str">
        <x:v>OPEN</x:v>
      </x:c>
    </x:row>
    <x:row r="3">
      <x:c r="A3" t="str">
        <x:v>U-002</x:v>
      </x:c>
      <x:c r="B3" t="str">
        <x:v>Back Job</x:v>
      </x:c>
      <x:c r="C3" t="str">
        <x:v>Sept 11 Jeivce Velasco marked Back Job; no normal financial fields.</x:v>
      </x:c>
      <x:c r="D3" t="str">
        <x:v>Could incorrectly count warranty/rework as new revenue.</x:v>
      </x:c>
      <x:c r="E3" t="str">
        <x:v>Link to prior job order if evidence exists; otherwise retain Back Job classification.</x:v>
      </x:c>
      <x:c r="F3" t="str">
        <x:v>OPEN</x:v>
      </x:c>
    </x:row>
    <x:row r="4">
      <x:c r="A4" t="str">
        <x:v>U-003</x:v>
      </x:c>
      <x:c r="B4" t="str">
        <x:v>Water expense</x:v>
      </x:c>
      <x:c r="C4" t="str">
        <x:v>September Maynilad amount due may include prior balance.</x:v>
      </x:c>
      <x:c r="D4" t="str">
        <x:v>Would overstate September operating expense and distort ROI.</x:v>
      </x:c>
      <x:c r="E4" t="str">
        <x:v>Verify current-period water charge and previous balance from bill.</x:v>
      </x:c>
      <x:c r="F4" t="str">
        <x:v>OPEN</x:v>
      </x:c>
    </x:row>
    <x:row r="5">
      <x:c r="A5" t="str">
        <x:v>U-004</x:v>
      </x:c>
      <x:c r="B5" t="str">
        <x:v>Part-time payroll</x:v>
      </x:c>
      <x:c r="C5" t="str">
        <x:v>Kylane &amp; Ela: ₱40/hour, 8 hrs/week conflicts with stated ₱800.</x:v>
      </x:c>
      <x:c r="D5" t="str">
        <x:v>Could over/understate payroll.</x:v>
      </x:c>
      <x:c r="E5" t="str">
        <x:v>Confirm whether 8 hours is per person and what ₱800 represents.</x:v>
      </x:c>
      <x:c r="F5" t="str">
        <x:v>OPEN</x:v>
      </x:c>
    </x:row>
    <x:row r="6">
      <x:c r="A6" t="str">
        <x:v>U-005</x:v>
      </x:c>
      <x:c r="B6" t="str">
        <x:v>Sept 14 ₱3,000 cash-out</x:v>
      </x:c>
      <x:c r="C6" t="str">
        <x:v>Business purpose/category unknown.</x:v>
      </x:c>
      <x:c r="D6" t="str">
        <x:v>Could incorrectly reduce profit as operating expense.</x:v>
      </x:c>
      <x:c r="E6" t="str">
        <x:v>Ask owner whether withdrawal, reimbursement, purchase, advance, etc.</x:v>
      </x:c>
      <x:c r="F6" t="str">
        <x:v>OPEN</x:v>
      </x:c>
    </x:row>
    <x:row r="7">
      <x:c r="A7" t="str">
        <x:v>U-006</x:v>
      </x:c>
      <x:c r="B7" t="str">
        <x:v>Cico/Rico match</x:v>
      </x:c>
      <x:c r="C7" t="str">
        <x:v>Job Order customer appears Cico B. Conde; DSMR matching values previously read Rico Ancheta.</x:v>
      </x:c>
      <x:c r="D7" t="str">
        <x:v>Could merge two different customers.</x:v>
      </x:c>
      <x:c r="E7" t="str">
        <x:v>Re-read original DSMR/job-order names manually; do not auto-merge.</x:v>
      </x:c>
      <x:c r="F7" t="str">
        <x:v>OPEN</x:v>
      </x:c>
    </x:row>
    <x:row r="8">
      <x:c r="A8" t="str">
        <x:v>U-007</x:v>
      </x:c>
      <x:c r="B8" t="str">
        <x:v>Sept 7 handwriting</x:v>
      </x:c>
      <x:c r="C8" t="str">
        <x:v>Several DSMR customer names are best-read only.</x:v>
      </x:c>
      <x:c r="D8" t="str">
        <x:v>Name errors affect matching/deduplication.</x:v>
      </x:c>
      <x:c r="E8" t="str">
        <x:v>Manual visual confirmation before production import.</x:v>
      </x:c>
      <x:c r="F8" t="str">
        <x:v>OPEN</x:v>
      </x:c>
    </x:row>
    <x:row r="9">
      <x:c r="A9" t="str">
        <x:v>U-008</x:v>
      </x:c>
      <x:c r="B9" t="str">
        <x:v>Actual release dates</x:v>
      </x:c>
      <x:c r="C9" t="str">
        <x:v>Most paper forms show estimated release only, not actual ready/release.</x:v>
      </x:c>
      <x:c r="D9" t="str">
        <x:v>Would contaminate ML outcome evidence.</x:v>
      </x:c>
      <x:c r="E9" t="str">
        <x:v>Never substitute estimated date; leave actual release null unless independently documented.</x:v>
      </x:c>
      <x:c r="F9" t="str">
        <x:v>OPEN</x:v>
      </x:c>
    </x:row>
    <x:row r="10">
      <x:c r="A10" t="str">
        <x:v>U-009</x:v>
      </x:c>
      <x:c r="B10" t="str">
        <x:v>Historical status timestamps</x:v>
      </x:c>
      <x:c r="C10" t="str">
        <x:v>Paper evidence does not prove intermediate New→On-going→For Release timestamps.</x:v>
      </x:c>
      <x:c r="D10" t="str">
        <x:v>Backdating would fabricate system activity.</x:v>
      </x:c>
      <x:c r="E10" t="str">
        <x:v>Import business facts only; use real import timestamp and current controlled tests for audit evidence.</x:v>
      </x:c>
      <x:c r="F1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f964076595cf4d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26" hidden="0" customWidth="1"/>
    <x:col min="4" max="4" width="65" hidden="0" customWidth="1"/>
    <x:col min="5" max="5" width="22" hidden="0" customWidth="1"/>
    <x:col min="6" max="6" width="48" hidden="0" customWidth="1"/>
  </x:cols>
  <x:sheetData>
    <x:row r="1">
      <x:c r="A1" s="16" t="str">
        <x:v>RECONCILIATION SUMMARY — STAGING</x:v>
      </x:c>
      <x:c r="B1" s="16"/>
      <x:c r="C1" s="16"/>
      <x:c r="D1" s="16"/>
      <x:c r="E1" s="16"/>
      <x:c r="F1" s="16"/>
    </x:row>
    <x:row r="3">
      <x:c r="A3" s="24" t="str">
        <x:v>Metric</x:v>
      </x:c>
      <x:c r="B3" s="24" t="str">
        <x:v>Sept 7</x:v>
      </x:c>
      <x:c r="C3" s="24" t="str">
        <x:v>Sept 8</x:v>
      </x:c>
      <x:c r="D3" s="24" t="str">
        <x:v>Sept 9–15 Verified</x:v>
      </x:c>
      <x:c r="E3" s="24" t="str">
        <x:v>Combined Working Total</x:v>
      </x:c>
      <x:c r="F3" s="24" t="str">
        <x:v>Notes</x:v>
      </x:c>
    </x:row>
    <x:row r="4">
      <x:c r="A4" s="12" t="str">
        <x:v>Transaction rows</x:v>
      </x:c>
      <x:c r="B4" t="n">
        <x:v>10</x:v>
      </x:c>
      <x:c r="C4" t="n">
        <x:v>10</x:v>
      </x:c>
      <x:c r="D4" t="n">
        <x:v>62</x:v>
      </x:c>
      <x:c r="E4" t="n">
        <x:f>SUM(B4:D4)</x:f>
        <x:v>82</x:v>
      </x:c>
      <x:c r="F4" t="str">
        <x:v>Working total across 8 DSMRs.</x:v>
      </x:c>
    </x:row>
    <x:row r="5">
      <x:c r="A5" s="12" t="str">
        <x:v>NEW orders</x:v>
      </x:c>
      <x:c r="B5" t="n">
        <x:v>8</x:v>
      </x:c>
      <x:c r="C5" t="n">
        <x:v>9</x:v>
      </x:c>
      <x:c r="D5" t="n">
        <x:v>43</x:v>
      </x:c>
      <x:c r="E5" t="n">
        <x:f>SUM(B5:D5)</x:f>
        <x:v>60</x:v>
      </x:c>
      <x:c r="F5" t="str">
        <x:v>NEW = received-order transactions.</x:v>
      </x:c>
    </x:row>
    <x:row r="6">
      <x:c r="A6" s="12" t="str">
        <x:v>CLAIM events</x:v>
      </x:c>
      <x:c r="B6" t="n">
        <x:v>2</x:v>
      </x:c>
      <x:c r="C6" t="n">
        <x:v>1</x:v>
      </x:c>
      <x:c r="D6" t="n">
        <x:v>19</x:v>
      </x:c>
      <x:c r="E6" t="n">
        <x:f>SUM(B6:D6)</x:f>
        <x:v>22</x:v>
      </x:c>
      <x:c r="F6" t="str">
        <x:v>CLAIM does not create a new order.</x:v>
      </x:c>
    </x:row>
    <x:row r="7">
      <x:c r="A7" s="12" t="str">
        <x:v>NEW pairs</x:v>
      </x:c>
      <x:c r="B7" t="n">
        <x:v>12</x:v>
      </x:c>
      <x:c r="C7" t="n">
        <x:v>11</x:v>
      </x:c>
      <x:c r="D7" t="n">
        <x:v>84</x:v>
      </x:c>
      <x:c r="E7" t="n">
        <x:f>SUM(B7:D7)</x:f>
        <x:v>107</x:v>
      </x:c>
      <x:c r="F7" t="str">
        <x:v>Sept 7–8 counts based on visible reports; handwriting still subject to review.</x:v>
      </x:c>
    </x:row>
    <x:row r="8">
      <x:c r="A8" s="12" t="str">
        <x:v>CLAIM pairs</x:v>
      </x:c>
      <x:c r="B8" t="n">
        <x:v>9</x:v>
      </x:c>
      <x:c r="C8" t="n">
        <x:v>1</x:v>
      </x:c>
      <x:c r="D8" t="n">
        <x:v>31</x:v>
      </x:c>
      <x:c r="E8" t="n">
        <x:f>SUM(B8:D8)</x:f>
        <x:v>41</x:v>
      </x:c>
      <x:c r="F8" t="str">
        <x:v>Sept 7 includes one 8-pair claim.</x:v>
      </x:c>
    </x:row>
    <x:row r="9">
      <x:c r="A9" s="12" t="str">
        <x:v>Total pairs</x:v>
      </x:c>
      <x:c r="B9" t="n">
        <x:v>21</x:v>
      </x:c>
      <x:c r="C9" t="n">
        <x:v>12</x:v>
      </x:c>
      <x:c r="D9" t="n">
        <x:v>115</x:v>
      </x:c>
      <x:c r="E9" t="n">
        <x:f>SUM(B9:D9)</x:f>
        <x:v>148</x:v>
      </x:c>
      <x:c r="F9" t="str">
        <x:v>Pairs across NEW + CLAIM rows.</x:v>
      </x:c>
    </x:row>
    <x:row r="12">
      <x:c r="A12" s="24" t="str">
        <x:v>Expense KPI</x:v>
      </x:c>
      <x:c r="B12" s="24" t="str">
        <x:v>Amount</x:v>
      </x:c>
      <x:c r="C12" s="24" t="str">
        <x:v>Treatment</x:v>
      </x:c>
      <x:c r="D12" s="24" t="str">
        <x:v>Notes</x:v>
      </x:c>
    </x:row>
    <x:row r="13">
      <x:c r="A13" t="str">
        <x:v>Known full-month fixed operating subtotal</x:v>
      </x:c>
      <x:c r="B13" s="30" t="n">
        <x:v>53124.17</x:v>
      </x:c>
      <x:c r="C13" t="str">
        <x:v>Use for September operating view</x:v>
      </x:c>
      <x:c r="D13" t="str">
        <x:v>Rent 20,000 + full-time payroll 28,080 + MERALCO 3,745.17 + Converge 1,299. Excludes water, part-time payroll, parcels, and unclassified items.</x:v>
      </x:c>
    </x:row>
    <x:row r="14">
      <x:c r="A14" t="str">
        <x:v>Payroll transaction inside pilot window</x:v>
      </x:c>
      <x:c r="B14" s="30" t="n">
        <x:v>14040</x:v>
      </x:c>
      <x:c r="C14" t="str">
        <x:v>Pilot-period operating transaction</x:v>
      </x:c>
      <x:c r="D14" t="str">
        <x:v>Sept 15 Joy 5,720 + Yang 8,320; regular operating payroll, not caused by pilot.</x:v>
      </x:c>
    </x:row>
    <x:row r="15">
      <x:c r="A15" t="str">
        <x:v>Verified/working parcel expenses</x:v>
      </x:c>
      <x:c r="B15" s="30" t="n">
        <x:v>571</x:v>
      </x:c>
      <x:c r="C15" t="str">
        <x:v>Pilot-period operating transactions</x:v>
      </x:c>
      <x:c r="D15" t="str">
        <x:v>Sept 12 ₱442 + Sept 15 ₱129; retain source verification note.</x:v>
      </x:c>
    </x:row>
    <x:row r="16">
      <x:c r="A16" t="str">
        <x:v>Maynilad amount on hold</x:v>
      </x:c>
      <x:c r="B16" s="30" t="n">
        <x:v>4311.03</x:v>
      </x:c>
      <x:c r="C16" t="str">
        <x:v>DO NOT USE YET</x:v>
      </x:c>
      <x:c r="D16" t="str">
        <x:v>Need current-period charge vs prior balance verification.</x:v>
      </x:c>
    </x:row>
    <x:row r="17">
      <x:c r="A17" t="str">
        <x:v>Sept 14 unclassified cash-out</x:v>
      </x:c>
      <x:c r="B17" s="30" t="n">
        <x:v>3000</x:v>
      </x:c>
      <x:c r="C17" t="str">
        <x:v>DO NOT COUNT AS EXPENSE YET</x:v>
      </x:c>
      <x:c r="D17" t="str">
        <x:v>Needs business-purpose classification.</x:v>
      </x:c>
    </x:row>
    <x:row r="20">
      <x:c r="A20" s="35" t="str">
        <x:v>IMPORT GATE: CONDITIONAL GO. The evidence is sufficient to continue reconciliation and build an import package, but production import should wait until high-risk identity matches, the Sept 14 unresolved claim, water expense, part-time payroll, and unclassified ₱3,000 cash-out are resolved or explicitly imported as unresolved/held items.</x:v>
      </x:c>
      <x:c r="B20" s="35"/>
      <x:c r="C20" s="35"/>
      <x:c r="D20" s="35"/>
      <x:c r="E20" s="35"/>
      <x:c r="F20" s="35"/>
    </x:row>
    <x:row r="21">
      <x:c r="A21" s="35"/>
      <x:c r="B21" s="35"/>
      <x:c r="C21" s="35"/>
      <x:c r="D21" s="35"/>
      <x:c r="E21" s="35"/>
      <x:c r="F21" s="35"/>
    </x:row>
    <x:row r="22">
      <x:c r="A22" s="35"/>
      <x:c r="B22" s="35"/>
      <x:c r="C22" s="35"/>
      <x:c r="D22" s="35"/>
      <x:c r="E22" s="35"/>
      <x:c r="F22" s="35"/>
    </x:row>
  </x:sheetData>
  <x:mergeCells>
    <x:mergeCell ref="A1:F1"/>
    <x:mergeCell ref="A20:F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95" hidden="0" customWidth="1"/>
  </x:cols>
  <x:sheetData>
    <x:row r="1">
      <x:c r="A1" s="16" t="str">
        <x:v>ANTIGRAVITY / DATABASE IMPORT RULES</x:v>
      </x:c>
      <x:c r="B1" s="16"/>
      <x:c r="C1" s="16"/>
      <x:c r="D1" s="5"/>
      <x:c r="E1" s="5"/>
      <x:c r="F1" s="5"/>
    </x:row>
    <x:row r="3">
      <x:c r="A3" s="12" t="str">
        <x:v>1</x:v>
      </x:c>
      <x:c r="B3" t="str">
        <x:v>Stage first</x:v>
      </x:c>
      <x:c r="C3" t="str">
        <x:v>Import into staging/preview tables or dry-run mode before production writes.</x:v>
      </x:c>
    </x:row>
    <x:row r="4">
      <x:c r="A4" s="12" t="str">
        <x:v>2</x:v>
      </x:c>
      <x:c r="B4" t="str">
        <x:v>Preserve business date</x:v>
      </x:c>
      <x:c r="C4" t="str">
        <x:v>Use the documented September received/payment/claim date as business event date only.</x:v>
      </x:c>
    </x:row>
    <x:row r="5">
      <x:c r="A5" s="12" t="str">
        <x:v>3</x:v>
      </x:c>
      <x:c r="B5" t="str">
        <x:v>Real import timestamp</x:v>
      </x:c>
      <x:c r="C5" t="str">
        <x:v>Set imported_at / created audit event to the real execution timestamp. Never backdate audit logs.</x:v>
      </x:c>
    </x:row>
    <x:row r="6">
      <x:c r="A6" s="12" t="str">
        <x:v>4</x:v>
      </x:c>
      <x:c r="B6" t="str">
        <x:v>Deduplicate</x:v>
      </x:c>
      <x:c r="C6" t="str">
        <x:v>A matching DSMR NEW row + Shoe Inventory Form = one job order with two evidence references.</x:v>
      </x:c>
    </x:row>
    <x:row r="7">
      <x:c r="A7" s="12" t="str">
        <x:v>5</x:v>
      </x:c>
      <x:c r="B7" t="str">
        <x:v>Claims</x:v>
      </x:c>
      <x:c r="C7" t="str">
        <x:v>CLAIM rows are events/payments against existing orders. If no reliable original match, store as UNRESOLVED HISTORICAL CLAIM.</x:v>
      </x:c>
    </x:row>
    <x:row r="8">
      <x:c r="A8" s="12" t="str">
        <x:v>6</x:v>
      </x:c>
      <x:c r="B8" t="str">
        <x:v>Release dates</x:v>
      </x:c>
      <x:c r="C8" t="str">
        <x:v>Estimated release is not actual release. Do not populate released_at/ready_at from estimated dates.</x:v>
      </x:c>
    </x:row>
    <x:row r="9">
      <x:c r="A9" s="12" t="str">
        <x:v>7</x:v>
      </x:c>
      <x:c r="B9" t="str">
        <x:v>Status history</x:v>
      </x:c>
      <x:c r="C9" t="str">
        <x:v>Do not manufacture New→On-going→For Release timestamps when paper evidence does not show them.</x:v>
      </x:c>
    </x:row>
    <x:row r="10">
      <x:c r="A10" s="12" t="str">
        <x:v>8</x:v>
      </x:c>
      <x:c r="B10" t="str">
        <x:v>Inventory</x:v>
      </x:c>
      <x:c r="C10" t="str">
        <x:v>Do not generate historical material usage or auto-deduct stock from historical services.</x:v>
      </x:c>
    </x:row>
    <x:row r="11">
      <x:c r="A11" s="12" t="str">
        <x:v>9</x:v>
      </x:c>
      <x:c r="B11" t="str">
        <x:v>Expenses</x:v>
      </x:c>
      <x:c r="C11" t="str">
        <x:v>Only include expenses marked current-period verified. Hold Maynilad and unclassified ₱3,000 until resolved.</x:v>
      </x:c>
    </x:row>
    <x:row r="12">
      <x:c r="A12" s="12" t="str">
        <x:v>10</x:v>
      </x:c>
      <x:c r="B12" t="str">
        <x:v>Provenance</x:v>
      </x:c>
      <x:c r="C12" t="str">
        <x:v>Persist source_type/source_reference/provenance/verification_status where schema supports it.</x:v>
      </x:c>
    </x:row>
    <x:row r="13">
      <x:c r="A13" s="12" t="str">
        <x:v>11</x:v>
      </x:c>
      <x:c r="B13" t="str">
        <x:v>Audit evidence</x:v>
      </x:c>
      <x:c r="C13" t="str">
        <x:v>Use current CONTROLLED_TEST actions for permissions, inventory override, discounts, cancellation, audit trail, ML and workflow testing.</x:v>
      </x:c>
    </x:row>
    <x:row r="14">
      <x:c r="A14" s="12" t="str">
        <x:v>12</x:v>
      </x:c>
      <x:c r="B14" t="str">
        <x:v>Rollback</x:v>
      </x:c>
      <x:c r="C14" t="str">
        <x:v>Generate pre-import counts and a reversible import batch ID so imported historical rows can be removed without touching live native records.</x:v>
      </x:c>
    </x:row>
  </x:sheetData>
  <x:mergeCells>
    <x:mergeCell ref="A1:F1"/>
  </x:mergeCells>
  <x:pageMargins left="0.7" right="0.7" top="0.75" bottom="0.75" header="0.3" footer="0.3"/>
</x:worksheet>
</file>